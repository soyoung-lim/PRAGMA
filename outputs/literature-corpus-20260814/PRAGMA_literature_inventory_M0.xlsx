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97e38c94f464814" /></Relationships>
</file>

<file path=xl/workbook.xml><?xml version="1.0" encoding="utf-8"?>
<x:workbook xmlns:x="http://schemas.openxmlformats.org/spreadsheetml/2006/main">
  <x:sheets>
    <x:sheet xmlns:r="http://schemas.openxmlformats.org/officeDocument/2006/relationships" name="README" sheetId="1" r:id="Re2ba84f0d3154c91"/>
    <x:sheet xmlns:r="http://schemas.openxmlformats.org/officeDocument/2006/relationships" name="Summary" sheetId="2" r:id="Rc3c3b6d5bd8a4f0b"/>
    <x:sheet xmlns:r="http://schemas.openxmlformats.org/officeDocument/2006/relationships" name="Inventory" sheetId="3" r:id="R95369eb31a5e4d6e"/>
    <x:sheet xmlns:r="http://schemas.openxmlformats.org/officeDocument/2006/relationships" name="Calibration" sheetId="4" r:id="R6974c088fb9740eb"/>
    <x:sheet xmlns:r="http://schemas.openxmlformats.org/officeDocument/2006/relationships" name="Lists" sheetId="5" r:id="R1c39e665d22d49ba"/>
    <x:sheet xmlns:r="http://schemas.openxmlformats.org/officeDocument/2006/relationships" name="M1_Cards" sheetId="6" r:id="Rc5db4ba6423f4c52"/>
    <x:sheet xmlns:r="http://schemas.openxmlformats.org/officeDocument/2006/relationships" name="Chapter3_Gaps" sheetId="7" r:id="R15c9033457d9400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7">
    <x:font>
      <x:sz val="11"/>
      <x:name val="Carlito"/>
    </x:font>
    <x:font>
      <x:b/>
      <x:sz val="16"/>
      <x:color rgb="FFFFFFFF"/>
      <x:name val="Aptos"/>
    </x:font>
    <x:font>
      <x:b/>
      <x:sz val="11"/>
      <x:color rgb="FF173B38"/>
      <x:name val="Aptos"/>
    </x:font>
    <x:font>
      <x:b/>
      <x:sz val="11"/>
      <x:name val="Aptos"/>
    </x:font>
    <x:font>
      <x:sz val="11"/>
      <x:name val="Aptos"/>
    </x:font>
    <x:font>
      <x:sz val="9"/>
      <x:name val="Aptos"/>
    </x:font>
    <x:font>
      <x:sz val="10"/>
      <x:name val="Aptos"/>
    </x:font>
  </x:fonts>
  <x:fills count="17">
    <x:fill>
      <x:patternFill patternType="none"/>
    </x:fill>
    <x:fill>
      <x:patternFill patternType="gray125"/>
    </x:fill>
    <x:fill>
      <x:patternFill patternType="solid">
        <x:fgColor rgb="FF174A46"/>
      </x:patternFill>
    </x:fill>
    <x:fill>
      <x:patternFill patternType="solid">
        <x:fgColor rgb="FFDCEBE8"/>
      </x:patternFill>
    </x:fill>
    <x:fill>
      <x:patternFill patternType="solid">
        <x:fgColor rgb="FFEEF6F4"/>
      </x:patternFill>
    </x:fill>
    <x:fill>
      <x:patternFill patternType="solid">
        <x:fgColor rgb="FFDCEBE8"/>
      </x:patternFill>
    </x:fill>
    <x:fill>
      <x:patternFill patternType="solid">
        <x:fgColor rgb="FFEEF6F4"/>
      </x:patternFill>
    </x:fill>
    <x:fill>
      <x:patternFill patternType="solid">
        <x:fgColor rgb="FF174A46"/>
      </x:patternFill>
    </x:fill>
    <x:fill>
      <x:patternFill patternType="solid">
        <x:fgColor rgb="FFDCEBE8"/>
      </x:patternFill>
    </x:fill>
    <x:fill>
      <x:patternFill patternType="solid">
        <x:fgColor rgb="FFEEF6F4"/>
      </x:patternFill>
    </x:fill>
    <x:fill>
      <x:patternFill patternType="solid">
        <x:fgColor rgb="FF174A46"/>
      </x:patternFill>
    </x:fill>
    <x:fill>
      <x:patternFill patternType="solid">
        <x:fgColor rgb="FFDCEBE8"/>
      </x:patternFill>
    </x:fill>
    <x:fill>
      <x:patternFill patternType="solid">
        <x:fgColor rgb="FFEEF6F4"/>
      </x:patternFill>
    </x:fill>
    <x:fill>
      <x:patternFill patternType="solid">
        <x:fgColor rgb="FF174A46"/>
      </x:patternFill>
    </x:fill>
    <x:fill>
      <x:patternFill patternType="solid">
        <x:fgColor rgb="FFDCEBE8"/>
      </x:patternFill>
    </x:fill>
    <x:fill>
      <x:patternFill patternType="solid">
        <x:fgColor rgb="FFEEF6F4"/>
      </x:patternFill>
    </x:fill>
    <x:fill>
      <x:patternFill patternType="solid">
        <x:fgColor rgb="FF174A46"/>
      </x:patternFill>
    </x:fill>
  </x:fills>
  <x:borders count="4">
    <x:border/>
    <x:border>
      <x:left style="thin">
        <x:color rgb="FFB9CEC9"/>
      </x:left>
      <x:top style="thin">
        <x:color rgb="FFB9CEC9"/>
      </x:top>
      <x:bottom style="thin">
        <x:color rgb="FFB9CEC9"/>
      </x:bottom>
    </x:border>
    <x:border>
      <x:right style="thin">
        <x:color rgb="FFB9CEC9"/>
      </x:right>
      <x:top style="thin">
        <x:color rgb="FFB9CEC9"/>
      </x:top>
      <x:bottom style="thin">
        <x:color rgb="FFB9CEC9"/>
      </x:bottom>
    </x:border>
    <x:border>
      <x:top style="thin">
        <x:color rgb="FFB9CEC9"/>
      </x:top>
      <x:bottom style="thin">
        <x:color rgb="FFB9CEC9"/>
      </x:bottom>
    </x:border>
  </x:borders>
  <x:cellStyleXfs count="1">
    <x:xf numFmtId="0" fontId="0" fillId="0" borderId="0"/>
  </x:cellStyleXfs>
  <x:cellXfs count="6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2" xfId="0" applyNumberFormat="1" applyFont="1" applyFill="1" applyBorder="1"/>
    <x:xf numFmtId="0" fontId="2" fillId="3" borderId="1" xfId="0" applyNumberFormat="1" applyFont="1" applyFill="1" applyBorder="1" applyAlignment="1">
      <x:alignment wrapText="1"/>
    </x:xf>
    <x:xf numFmtId="0" fontId="2" fillId="3" borderId="2" xfId="0" applyNumberFormat="1" applyFont="1" applyFill="1" applyBorder="1" applyAlignment="1">
      <x:alignment wrapText="1"/>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4" fillId="0" borderId="0" xfId="0" applyNumberFormat="1" applyFont="1" applyFill="1" applyBorder="1"/>
    <x:xf numFmtId="0" fontId="4" fillId="0" borderId="0" xfId="0" applyNumberFormat="1" applyFont="1" applyFill="1" applyBorder="1" applyAlignment="1">
      <x:alignment wrapText="1"/>
    </x:xf>
    <x:xf numFmtId="0" fontId="2" fillId="3" borderId="3" xfId="0" applyNumberFormat="1" applyFont="1" applyFill="1" applyBorder="1"/>
    <x:xf numFmtId="0" fontId="2" fillId="3" borderId="3" xfId="0" applyNumberFormat="1" applyFont="1" applyFill="1" applyBorder="1" applyAlignment="1">
      <x:alignment wrapText="1"/>
    </x:xf>
    <x:xf numFmtId="0" fontId="2" fillId="3" borderId="3" xfId="0" applyNumberFormat="1" applyFont="1" applyFill="1" applyBorder="1" applyAlignment="1">
      <x:alignment vertical="center" wrapText="1"/>
    </x:xf>
    <x:xf numFmtId="0" fontId="1" fillId="2" borderId="0" xfId="0" applyNumberFormat="1" applyFont="1" applyFill="1" applyBorder="1" applyAlignment="1">
      <x:alignment vertical="top"/>
    </x:xf>
    <x:xf numFmtId="0" fontId="0" fillId="0" borderId="0" xfId="0" applyNumberFormat="1" applyFont="1" applyFill="1" applyBorder="1" applyAlignment="1">
      <x:alignment vertical="top"/>
    </x:xf>
    <x:xf numFmtId="0" fontId="2" fillId="3" borderId="1" xfId="0" applyNumberFormat="1" applyFont="1" applyFill="1" applyBorder="1" applyAlignment="1">
      <x:alignment vertical="top" wrapText="1"/>
    </x:xf>
    <x:xf numFmtId="0" fontId="2" fillId="3" borderId="2" xfId="0" applyNumberFormat="1" applyFont="1" applyFill="1" applyBorder="1" applyAlignment="1">
      <x:alignment vertical="top" wrapText="1"/>
    </x:xf>
    <x:xf numFmtId="0" fontId="3" fillId="4" borderId="0" xfId="0" applyNumberFormat="1" applyFont="1" applyFill="1" applyBorder="1" applyAlignment="1">
      <x:alignment vertical="top"/>
    </x:xf>
    <x:xf numFmtId="0" fontId="4" fillId="0" borderId="0" xfId="0" applyNumberFormat="1" applyFont="1" applyFill="1" applyBorder="1" applyAlignment="1">
      <x:alignment vertical="top" wrapText="1"/>
    </x:xf>
    <x:xf numFmtId="0" fontId="2" fillId="3" borderId="3" xfId="0" applyNumberFormat="1" applyFont="1" applyFill="1" applyBorder="1" applyAlignment="1">
      <x:alignment vertical="top" wrapText="1"/>
    </x:xf>
    <x:xf numFmtId="200" fontId="0" fillId="0" borderId="0" xfId="0" applyNumberFormat="1" applyFont="1" applyFill="1" applyBorder="1"/>
    <x:xf numFmtId="0" fontId="5" fillId="0" borderId="0" xfId="0" applyNumberFormat="1" applyFont="1" applyFill="1" applyBorder="1"/>
    <x:xf numFmtId="200" fontId="5" fillId="0" borderId="0" xfId="0" applyNumberFormat="1" applyFont="1" applyFill="1" applyBorder="1"/>
    <x:xf numFmtId="0" fontId="0" fillId="0" borderId="0" xfId="0" applyNumberFormat="1" applyFont="1" applyFill="1" applyBorder="1" applyAlignment="1">
      <x:alignment wrapText="1"/>
    </x:xf>
    <x:xf numFmtId="0" fontId="0" fillId="5" borderId="0" xfId="0" applyNumberFormat="1" applyFont="1" applyFill="1" applyBorder="1"/>
    <x:xf numFmtId="0" fontId="2" fillId="5" borderId="0" xfId="0" applyNumberFormat="1" applyFont="1" applyFill="1" applyBorder="1"/>
    <x:xf numFmtId="0" fontId="2" fillId="5" borderId="1" xfId="0" applyNumberFormat="1" applyFont="1" applyFill="1" applyBorder="1"/>
    <x:xf numFmtId="0" fontId="2" fillId="5" borderId="2" xfId="0" applyNumberFormat="1" applyFont="1" applyFill="1" applyBorder="1"/>
    <x:xf numFmtId="0" fontId="2" fillId="5" borderId="1" xfId="0" applyNumberFormat="1" applyFont="1" applyFill="1" applyBorder="1" applyAlignment="1">
      <x:alignment wrapText="1"/>
    </x:xf>
    <x:xf numFmtId="0" fontId="2" fillId="5" borderId="2" xfId="0" applyNumberFormat="1" applyFont="1" applyFill="1" applyBorder="1" applyAlignment="1">
      <x:alignment wrapText="1"/>
    </x:xf>
    <x:xf numFmtId="0" fontId="2" fillId="5" borderId="1" xfId="0" applyNumberFormat="1" applyFont="1" applyFill="1" applyBorder="1" applyAlignment="1">
      <x:alignment vertical="center" wrapText="1"/>
    </x:xf>
    <x:xf numFmtId="0" fontId="2" fillId="5" borderId="2" xfId="0" applyNumberFormat="1" applyFont="1" applyFill="1" applyBorder="1" applyAlignment="1">
      <x:alignment vertical="center" wrapText="1"/>
    </x:xf>
    <x:xf numFmtId="0" fontId="0" fillId="6" borderId="0" xfId="0" applyNumberFormat="1" applyFont="1" applyFill="1" applyBorder="1"/>
    <x:xf numFmtId="0" fontId="3" fillId="6" borderId="0" xfId="0" applyNumberFormat="1" applyFont="1" applyFill="1" applyBorder="1"/>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vertical="center"/>
    </x:xf>
    <x:xf numFmtId="0" fontId="2" fillId="5" borderId="3" xfId="0" applyNumberFormat="1" applyFont="1" applyFill="1" applyBorder="1"/>
    <x:xf numFmtId="0" fontId="2" fillId="5" borderId="3" xfId="0" applyNumberFormat="1" applyFont="1" applyFill="1" applyBorder="1" applyAlignment="1">
      <x:alignment wrapText="1"/>
    </x:xf>
    <x:xf numFmtId="0" fontId="2" fillId="5" borderId="3" xfId="0" applyNumberFormat="1" applyFont="1" applyFill="1" applyBorder="1" applyAlignment="1">
      <x:alignment vertical="center" wrapText="1"/>
    </x:xf>
    <x:xf numFmtId="0" fontId="5" fillId="0" borderId="0" xfId="0" applyNumberFormat="1" applyFont="1" applyFill="1" applyBorder="1" applyAlignment="1">
      <x:alignment wrapText="1"/>
    </x:xf>
    <x:xf numFmtId="0" fontId="5" fillId="0" borderId="0" xfId="0" applyNumberFormat="1" applyFont="1" applyFill="1" applyBorder="1" applyAlignment="1">
      <x:alignment vertical="top" wrapText="1"/>
    </x:xf>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0" xfId="0" applyNumberFormat="1" applyFont="1" applyFill="1" applyBorder="1" applyAlignment="1">
      <x:alignment vertical="top" wrapText="1"/>
    </x:xf>
    <x:xf numFmtId="0" fontId="2" fillId="8" borderId="1" xfId="0" applyNumberFormat="1" applyFont="1" applyFill="1" applyBorder="1" applyAlignment="1">
      <x:alignment vertical="center" wrapText="1"/>
    </x:xf>
    <x:xf numFmtId="0" fontId="2" fillId="8" borderId="2" xfId="0" applyNumberFormat="1" applyFont="1" applyFill="1" applyBorder="1" applyAlignment="1">
      <x:alignment vertical="center" wrapText="1"/>
    </x:xf>
    <x:xf numFmtId="0" fontId="3" fillId="9" borderId="0" xfId="0" applyNumberFormat="1" applyFont="1" applyFill="1" applyBorder="1"/>
    <x:xf numFmtId="0" fontId="1" fillId="10" borderId="0" xfId="0" applyNumberFormat="1" applyFont="1" applyFill="1" applyBorder="1" applyAlignment="1">
      <x:alignment vertical="center"/>
    </x:xf>
    <x:xf numFmtId="0" fontId="2" fillId="8" borderId="3" xfId="0" applyNumberFormat="1" applyFont="1" applyFill="1" applyBorder="1" applyAlignment="1">
      <x:alignment vertical="center" wrapText="1"/>
    </x:xf>
    <x:xf numFmtId="0" fontId="2" fillId="11" borderId="1" xfId="0" applyNumberFormat="1" applyFont="1" applyFill="1" applyBorder="1" applyAlignment="1">
      <x:alignment vertical="center" wrapText="1"/>
    </x:xf>
    <x:xf numFmtId="0" fontId="2" fillId="11" borderId="2" xfId="0" applyNumberFormat="1" applyFont="1" applyFill="1" applyBorder="1" applyAlignment="1">
      <x:alignment vertical="center" wrapText="1"/>
    </x:xf>
    <x:xf numFmtId="0" fontId="3" fillId="12" borderId="0" xfId="0" applyNumberFormat="1" applyFont="1" applyFill="1" applyBorder="1"/>
    <x:xf numFmtId="0" fontId="1" fillId="13" borderId="0" xfId="0" applyNumberFormat="1" applyFont="1" applyFill="1" applyBorder="1" applyAlignment="1">
      <x:alignment vertical="center"/>
    </x:xf>
    <x:xf numFmtId="0" fontId="2" fillId="11" borderId="3" xfId="0" applyNumberFormat="1" applyFont="1" applyFill="1" applyBorder="1" applyAlignment="1">
      <x:alignment vertical="center" wrapText="1"/>
    </x:xf>
    <x:xf numFmtId="0" fontId="2" fillId="14" borderId="1" xfId="0" applyNumberFormat="1" applyFont="1" applyFill="1" applyBorder="1" applyAlignment="1">
      <x:alignment vertical="center" wrapText="1"/>
    </x:xf>
    <x:xf numFmtId="0" fontId="2" fillId="14" borderId="2" xfId="0" applyNumberFormat="1" applyFont="1" applyFill="1" applyBorder="1" applyAlignment="1">
      <x:alignment vertical="center" wrapText="1"/>
    </x:xf>
    <x:xf numFmtId="0" fontId="3" fillId="15" borderId="0" xfId="0" applyNumberFormat="1" applyFont="1" applyFill="1" applyBorder="1"/>
    <x:xf numFmtId="0" fontId="1" fillId="16" borderId="0" xfId="0" applyNumberFormat="1" applyFont="1" applyFill="1" applyBorder="1" applyAlignment="1">
      <x:alignment vertical="center"/>
    </x:xf>
    <x:xf numFmtId="0" fontId="2" fillId="14" borderId="3" xfId="0" applyNumberFormat="1" applyFont="1" applyFill="1" applyBorder="1" applyAlignment="1">
      <x:alignment vertical="center" wrapText="1"/>
    </x:xf>
  </x:cellXfs>
  <x:cellStyles count="1">
    <x:cellStyle name="Normal" xfId="0"/>
  </x:cellStyles>
  <x:dxfs count="19">
    <x:dxf>
      <x:font>
        <x:b/>
        <x:color rgb="FF92400E"/>
      </x:font>
      <x:fill>
        <x:patternFill>
          <x:bgColor rgb="FFFDE68A"/>
        </x:patternFill>
      </x:fill>
    </x:dxf>
    <x:dxf>
      <x:font>
        <x:b/>
        <x:color rgb="FF991B1B"/>
      </x:font>
      <x:fill>
        <x:patternFill>
          <x:bgColor rgb="FFFEE2E2"/>
        </x:patternFill>
      </x:fill>
    </x:dxf>
    <x:dxf>
      <x:font>
        <x:b/>
        <x:color rgb="FF166534"/>
      </x:font>
      <x:fill>
        <x:patternFill>
          <x:bgColor rgb="FFDCFCE7"/>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x:bgColor rgb="FFDCFCE7"/>
        </x:patternFill>
      </x:fill>
    </x:dxf>
    <x:dxf>
      <x:font>
        <x:b/>
        <x:color rgb="FF92400E"/>
      </x:font>
      <x:fill>
        <x:patternFill>
          <x:bgColor rgb="FFFEF3C7"/>
        </x:patternFill>
      </x:fill>
    </x:dxf>
    <x:dxf>
      <x:font>
        <x:b/>
        <x:color rgb="FF991B1B"/>
      </x:font>
      <x:fill>
        <x:patternFill>
          <x:bgColor rgb="FFFEE2E2"/>
        </x:patternFill>
      </x:fill>
    </x:dxf>
    <x:dxf>
      <x:font>
        <x:b/>
        <x:color rgb="FF92400E"/>
      </x:font>
      <x:fill>
        <x:patternFill>
          <x:bgColor rgb="FFFEF3C7"/>
        </x:patternFill>
      </x:fill>
    </x:dxf>
    <x:dxf>
      <x:font>
        <x:b/>
        <x:color rgb="FF166534"/>
      </x:font>
      <x:fill>
        <x:patternFill patternType="solid">
          <x:bgColor rgb="FFDCFCE7"/>
        </x:patternFill>
      </x:fill>
    </x:dxf>
    <x:dxf>
      <x:font>
        <x:b/>
        <x:color rgb="FF92400E"/>
      </x:font>
      <x:fill>
        <x:patternFill patternType="solid">
          <x:bgColor rgb="FFFEF3C7"/>
        </x:patternFill>
      </x:fill>
    </x:dxf>
    <x:dxf>
      <x:font>
        <x:b/>
        <x:color rgb="FF991B1B"/>
      </x:font>
      <x:fill>
        <x:patternFill patternType="solid">
          <x:bgColor rgb="FFFEE2E2"/>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5a9f020961246f6" /><Relationship Type="http://schemas.openxmlformats.org/officeDocument/2006/relationships/theme" Target="/xl/theme/theme1.xml" Id="R5316d64ef44d488e" /><Relationship Type="http://schemas.openxmlformats.org/officeDocument/2006/relationships/sharedStrings" Target="/xl/sharedStrings.xml" Id="R540cc292965a467d" /><Relationship Type="http://schemas.openxmlformats.org/officeDocument/2006/relationships/worksheet" Target="/xl/worksheets/sheet1.xml" Id="Re2ba84f0d3154c91" /><Relationship Type="http://schemas.openxmlformats.org/officeDocument/2006/relationships/worksheet" Target="/xl/worksheets/sheet2.xml" Id="Rc3c3b6d5bd8a4f0b" /><Relationship Type="http://schemas.openxmlformats.org/officeDocument/2006/relationships/worksheet" Target="/xl/worksheets/sheet3.xml" Id="R95369eb31a5e4d6e" /><Relationship Type="http://schemas.openxmlformats.org/officeDocument/2006/relationships/worksheet" Target="/xl/worksheets/sheet4.xml" Id="R6974c088fb9740eb" /><Relationship Type="http://schemas.openxmlformats.org/officeDocument/2006/relationships/worksheet" Target="/xl/worksheets/sheet5.xml" Id="R1c39e665d22d49ba" /><Relationship Type="http://schemas.openxmlformats.org/officeDocument/2006/relationships/worksheet" Target="/xl/worksheets/sheet6.xml" Id="Rc5db4ba6423f4c52" /><Relationship Type="http://schemas.openxmlformats.org/officeDocument/2006/relationships/worksheet" Target="/xl/worksheets/sheet7.xml" Id="R15c9033457d94007" /></Relationships>
</file>

<file path=xl/tables/table1.xml><?xml version="1.0" encoding="utf-8"?>
<x:table xmlns:x="http://schemas.openxmlformats.org/spreadsheetml/2006/main" id="1" name="LiteratureInventoryTable" displayName="LiteratureInventoryTable" ref="A1:AG168" headerRowCount="1" totalsRowCount="0" totalsRowShown="0">
  <x:tableColumns count="33">
    <x:tableColumn id="1" name="work_id"/>
    <x:tableColumn id="2" name="assigned_section"/>
    <x:tableColumn id="3" name="primary_language"/>
    <x:tableColumn id="4" name="exact_filename"/>
    <x:tableColumn id="5" name="file_format"/>
    <x:tableColumn id="6" name="page_count"/>
    <x:tableColumn id="7" name="source_completeness"/>
    <x:tableColumn id="8" name="text_status"/>
    <x:tableColumn id="9" name="authors_original"/>
    <x:tableColumn id="10" name="year"/>
    <x:tableColumn id="11" name="title_original"/>
    <x:tableColumn id="12" name="filename_tags"/>
    <x:tableColumn id="13" name="document_type"/>
    <x:tableColumn id="14" name="reading_level"/>
    <x:tableColumn id="15" name="priority_tier"/>
    <x:tableColumn id="16" name="score_directness_0_4"/>
    <x:tableColumn id="17" name="score_evidence_0_3"/>
    <x:tableColumn id="18" name="score_method_0_3"/>
    <x:tableColumn id="19" name="score_lang_pair_0_3"/>
    <x:tableColumn id="20" name="score_design_0_3"/>
    <x:tableColumn id="21" name="score_canonical_0_2"/>
    <x:tableColumn id="22" name="priority_score"/>
    <x:tableColumn id="23" name="possible_chapter_uses"/>
    <x:tableColumn id="24" name="evidence_timing"/>
    <x:tableColumn id="25" name="citation_status"/>
    <x:tableColumn id="26" name="bibliographic_uncertainty"/>
    <x:tableColumn id="27" name="extraction_note"/>
    <x:tableColumn id="28" name="exact_duplicate_group"/>
    <x:tableColumn id="29" name="exact_path"/>
    <x:tableColumn id="30" name="modified_at"/>
    <x:tableColumn id="31" name="file_size_bytes"/>
    <x:tableColumn id="32" name="sha256"/>
    <x:tableColumn id="33" name="calibration_selected"/>
  </x:tableColumns>
  <x:tableStyleInfo name="TableStyleMedium2" showFirstColumn="0" showLastColumn="0" showRowStripes="1" showColumnStripes="0"/>
</x:table>
</file>

<file path=xl/tables/table2.xml><?xml version="1.0" encoding="utf-8"?>
<x:table xmlns:x="http://schemas.openxmlformats.org/spreadsheetml/2006/main" id="2" name="CalibrationTable" displayName="CalibrationTable" ref="A4:H10" headerRowCount="1" totalsRowCount="0" totalsRowShown="0">
  <x:tableColumns count="8">
    <x:tableColumn id="1" name="순번"/>
    <x:tableColumn id="2" name="언어"/>
    <x:tableColumn id="3" name="파일"/>
    <x:tableColumn id="4" name="대표 역할"/>
    <x:tableColumn id="5" name="쪽수"/>
    <x:tableColumn id="6" name="추출 상태"/>
    <x:tableColumn id="7" name="진행 상태"/>
    <x:tableColumn id="8" name="감사 메모"/>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e6a5189f682445fc" /></Relationships>
</file>

<file path=xl/worksheets/_rels/sheet4.xml.rels>&#65279;<?xml version="1.0" encoding="utf-8"?><Relationships xmlns="http://schemas.openxmlformats.org/package/2006/relationships"><Relationship Type="http://schemas.openxmlformats.org/officeDocument/2006/relationships/table" Target="/xl/tables/table2.xml" Id="R0f0bb3d61c924f84" /></Relationships>
</file>

<file path=xl/worksheets/sheet1.xml><?xml version="1.0" encoding="utf-8"?>
<x:worksheet xmlns:x="http://schemas.openxmlformats.org/spreadsheetml/2006/main">
  <x:sheetViews>
    <x:sheetView showGridLines="0" workbookViewId="0"/>
  </x:sheetViews>
  <x:sheetFormatPr defaultRowHeight="15"/>
  <x:cols>
    <x:col min="1" max="1" width="16" hidden="0" customWidth="1"/>
    <x:col min="2" max="2" width="68" hidden="0" customWidth="1"/>
    <x:col min="3" max="3" width="18" hidden="0" customWidth="1"/>
    <x:col min="4" max="4" width="42" hidden="0" customWidth="1"/>
  </x:cols>
  <x:sheetData>
    <x:row r="1" ht="22" customHeight="1">
      <x:c r="A1" s="19" t="str">
        <x:v>PRAGMA 학술문헌 독해 관리 · M0 인벤토리 + 3장 M1</x:v>
      </x:c>
      <x:c r="B1" s="19" t="str">
        <x:v>PRAGMA 학술문헌 독해 관리 · M0 인벤토리 + 3장 M1</x:v>
      </x:c>
      <x:c r="C1" s="19" t="str">
        <x:v>PRAGMA 학술문헌 독해 관리 · M0 인벤토리 + 3장 M1</x:v>
      </x:c>
      <x:c r="D1" s="19" t="str">
        <x:v>PRAGMA 학술문헌 독해 관리 · M0 인벤토리 + 3장 M1</x:v>
      </x:c>
      <x:c r="E1" s="19" t="str">
        <x:v>PRAGMA 학술문헌 독해 관리 · M0 인벤토리 + 3장 M1</x:v>
      </x:c>
      <x:c r="F1" s="19" t="str">
        <x:v>PRAGMA 학술문헌 독해 관리 · M0 인벤토리 + 3장 M1</x:v>
      </x:c>
      <x:c r="G1" s="19" t="str">
        <x:v>PRAGMA 학술문헌 독해 관리 · M0 인벤토리 + 3장 M1</x:v>
      </x:c>
      <x:c r="H1" s="19" t="str">
        <x:v>PRAGMA 학술문헌 독해 관리 · M0 인벤토리 + 3장 M1</x:v>
      </x:c>
    </x:row>
    <x:row r="2" ht="22" customHeight="1">
      <x:c r="A2" s="19" t="str">
        <x:v>PRAGMA 학술문헌 독해 관리 · M0 인벤토리 + 3장 M1</x:v>
      </x:c>
      <x:c r="B2" s="19" t="str">
        <x:v>PRAGMA 학술문헌 독해 관리 · M0 인벤토리 + 3장 M1</x:v>
      </x:c>
      <x:c r="C2" s="19" t="str">
        <x:v>PRAGMA 학술문헌 독해 관리 · M0 인벤토리 + 3장 M1</x:v>
      </x:c>
      <x:c r="D2" s="19" t="str">
        <x:v>PRAGMA 학술문헌 독해 관리 · M0 인벤토리 + 3장 M1</x:v>
      </x:c>
      <x:c r="E2" s="19" t="str">
        <x:v>PRAGMA 학술문헌 독해 관리 · M0 인벤토리 + 3장 M1</x:v>
      </x:c>
      <x:c r="F2" s="19" t="str">
        <x:v>PRAGMA 학술문헌 독해 관리 · M0 인벤토리 + 3장 M1</x:v>
      </x:c>
      <x:c r="G2" s="19" t="str">
        <x:v>PRAGMA 학술문헌 독해 관리 · M0 인벤토리 + 3장 M1</x:v>
      </x:c>
      <x:c r="H2" s="19" t="str">
        <x:v>PRAGMA 학술문헌 독해 관리 · M0 인벤토리 + 3장 M1</x:v>
      </x:c>
    </x:row>
    <x:row r="3" ht="22" customHeight="1">
      <x:c r="A3" s="20"/>
      <x:c r="B3" s="20"/>
      <x:c r="C3" s="20"/>
      <x:c r="D3" s="20"/>
      <x:c r="E3" s="20"/>
      <x:c r="F3" s="20"/>
      <x:c r="G3" s="20"/>
      <x:c r="H3" s="20"/>
    </x:row>
    <x:row r="4" ht="22" customHeight="1">
      <x:c r="A4" s="21" t="str">
        <x:v>항목</x:v>
      </x:c>
      <x:c r="B4" s="22" t="str">
        <x:v>내용</x:v>
      </x:c>
      <x:c r="C4" s="20"/>
      <x:c r="D4" s="20"/>
      <x:c r="E4" s="20"/>
      <x:c r="F4" s="20"/>
      <x:c r="G4" s="20"/>
      <x:c r="H4" s="20"/>
    </x:row>
    <x:row r="5" ht="22" customHeight="1">
      <x:c r="A5" s="23" t="str">
        <x:v>원본 경로</x:v>
      </x:c>
      <x:c r="B5" s="24" t="str">
        <x:v>C:\PRAGMA_THESIS_LOCAL\02_문헌\학술문헌</x:v>
      </x:c>
      <x:c r="C5" s="20"/>
      <x:c r="D5" s="20"/>
      <x:c r="E5" s="20"/>
      <x:c r="F5" s="20"/>
      <x:c r="G5" s="20"/>
      <x:c r="H5" s="20"/>
    </x:row>
    <x:row r="6" ht="22" customHeight="1">
      <x:c r="A6" s="23" t="str">
        <x:v>스냅숏 시각</x:v>
      </x:c>
      <x:c r="B6" s="24" t="str">
        <x:v>2026-08-14T18:06:09</x:v>
      </x:c>
      <x:c r="C6" s="20"/>
      <x:c r="D6" s="20"/>
      <x:c r="E6" s="20"/>
      <x:c r="F6" s="20"/>
      <x:c r="G6" s="20"/>
      <x:c r="H6" s="20"/>
    </x:row>
    <x:row r="7" ht="22" customHeight="1">
      <x:c r="A7" s="23" t="str">
        <x:v>운영 원칙</x:v>
      </x:c>
      <x:c r="B7" s="24" t="str">
        <x:v>원본 파일은 읽기 전용. 이동·개명·삭제 없이 별도 워크북에서 상태만 관리</x:v>
      </x:c>
      <x:c r="C7" s="20"/>
      <x:c r="D7" s="20"/>
      <x:c r="E7" s="20"/>
      <x:c r="F7" s="20"/>
      <x:c r="G7" s="20"/>
      <x:c r="H7" s="20"/>
    </x:row>
    <x:row r="8" ht="22" customHeight="1">
      <x:c r="A8" s="23" t="str">
        <x:v>M0</x:v>
      </x:c>
      <x:c r="B8" s="24" t="str">
        <x:v>파일·서지·텍스트 추출 가능성만 확인</x:v>
      </x:c>
      <x:c r="C8" s="20"/>
      <x:c r="D8" s="20"/>
      <x:c r="E8" s="20"/>
      <x:c r="F8" s="20"/>
      <x:c r="G8" s="20"/>
      <x:c r="H8" s="20"/>
    </x:row>
    <x:row r="9" ht="22" customHeight="1">
      <x:c r="A9" s="23" t="str">
        <x:v>M1</x:v>
      </x:c>
      <x:c r="B9" s="24" t="str">
        <x:v>초록·결론·표·방법·한계를 중심으로 신속 선별</x:v>
      </x:c>
      <x:c r="C9" s="20"/>
      <x:c r="D9" s="20"/>
      <x:c r="E9" s="20"/>
      <x:c r="F9" s="20"/>
      <x:c r="G9" s="20"/>
      <x:c r="H9" s="20"/>
    </x:row>
    <x:row r="10" ht="22" customHeight="1">
      <x:c r="A10" s="23" t="str">
        <x:v>M2</x:v>
      </x:c>
      <x:c r="B10" s="24" t="str">
        <x:v>관련 절을 표적 독해하고 근거 쪽수 확인</x:v>
      </x:c>
      <x:c r="C10" s="20"/>
      <x:c r="D10" s="20"/>
      <x:c r="E10" s="20"/>
      <x:c r="F10" s="20"/>
      <x:c r="G10" s="20"/>
      <x:c r="H10" s="20"/>
    </x:row>
    <x:row r="11" ht="22" customHeight="1">
      <x:c r="A11" s="23" t="str">
        <x:v>M3</x:v>
      </x:c>
      <x:c r="B11" s="24" t="str">
        <x:v>핵심 문헌 심층 독해와 인용 문맥 검증</x:v>
      </x:c>
      <x:c r="C11" s="20"/>
      <x:c r="D11" s="20"/>
      <x:c r="E11" s="20"/>
      <x:c r="F11" s="20"/>
      <x:c r="G11" s="20"/>
      <x:c r="H11" s="20"/>
    </x:row>
    <x:row r="12" ht="22" customHeight="1">
      <x:c r="A12" s="23" t="str">
        <x:v>중요 경계</x:v>
      </x:c>
      <x:c r="B12" s="24" t="str">
        <x:v>AI는 원문구간확인까지만 수행하며 최종 인용가능 승격은 사용자가 판정</x:v>
      </x:c>
      <x:c r="C12" s="20"/>
      <x:c r="D12" s="20"/>
      <x:c r="E12" s="20"/>
      <x:c r="F12" s="20"/>
      <x:c r="G12" s="20"/>
      <x:c r="H12" s="20"/>
    </x:row>
    <x:row r="13" ht="22" customHeight="1">
      <x:c r="A13" s="20"/>
      <x:c r="B13" s="20"/>
      <x:c r="C13" s="20"/>
      <x:c r="D13" s="20"/>
      <x:c r="E13" s="20"/>
      <x:c r="F13" s="20"/>
      <x:c r="G13" s="20"/>
      <x:c r="H13" s="20"/>
    </x:row>
    <x:row r="14" ht="22" customHeight="1">
      <x:c r="A14" s="21" t="str">
        <x:v>코드</x:v>
      </x:c>
      <x:c r="B14" s="25" t="str">
        <x:v>의미</x:v>
      </x:c>
      <x:c r="C14" s="25" t="str">
        <x:v>사용 단계</x:v>
      </x:c>
      <x:c r="D14" s="22" t="str">
        <x:v>주의</x:v>
      </x:c>
      <x:c r="E14" s="20"/>
      <x:c r="F14" s="20"/>
      <x:c r="G14" s="20"/>
      <x:c r="H14" s="20"/>
    </x:row>
    <x:row r="15" ht="22" customHeight="1">
      <x:c r="A15" s="23" t="str">
        <x:v>A</x:v>
      </x:c>
      <x:c r="B15" s="20" t="str">
        <x:v>핵심 정본</x:v>
      </x:c>
      <x:c r="C15" s="20" t="str">
        <x:v>M2-M3</x:v>
      </x:c>
      <x:c r="D15" s="20" t="str">
        <x:v>직접 인용 전 원문·쪽수 재검증</x:v>
      </x:c>
      <x:c r="E15" s="20"/>
      <x:c r="F15" s="20"/>
      <x:c r="G15" s="20"/>
      <x:c r="H15" s="20"/>
    </x:row>
    <x:row r="16" ht="22" customHeight="1">
      <x:c r="A16" s="23" t="str">
        <x:v>B</x:v>
      </x:c>
      <x:c r="B16" s="20" t="str">
        <x:v>직접 선행연구</x:v>
      </x:c>
      <x:c r="C16" s="20" t="str">
        <x:v>M1-M2</x:v>
      </x:c>
      <x:c r="D16" s="20" t="str">
        <x:v>필요한 절만 재독</x:v>
      </x:c>
      <x:c r="E16" s="20"/>
      <x:c r="F16" s="20"/>
      <x:c r="G16" s="20"/>
      <x:c r="H16" s="20"/>
    </x:row>
    <x:row r="17" ht="22" customHeight="1">
      <x:c r="A17" s="23" t="str">
        <x:v>C</x:v>
      </x:c>
      <x:c r="B17" s="20" t="str">
        <x:v>배경·보조 문헌</x:v>
      </x:c>
      <x:c r="C17" s="20" t="str">
        <x:v>M1</x:v>
      </x:c>
      <x:c r="D17" s="20" t="str">
        <x:v>본문에 억지로 인용하지 않음</x:v>
      </x:c>
      <x:c r="E17" s="20"/>
      <x:c r="F17" s="20"/>
      <x:c r="G17" s="20"/>
      <x:c r="H17" s="20"/>
    </x:row>
    <x:row r="18" ht="22" customHeight="1">
      <x:c r="A18" s="23" t="str">
        <x:v>X</x:v>
      </x:c>
      <x:c r="B18" s="20" t="str">
        <x:v>보류·중복·판독불가</x:v>
      </x:c>
      <x:c r="C18" s="20" t="str">
        <x:v>M0</x:v>
      </x:c>
      <x:c r="D18" s="20" t="str">
        <x:v>삭제가 아니라 보류</x:v>
      </x:c>
      <x:c r="E18" s="20"/>
      <x:c r="F18" s="20"/>
      <x:c r="G18" s="20"/>
      <x:c r="H18" s="20"/>
    </x:row>
    <x:row r="19" ht="22" customHeight="1">
      <x:c r="A19" s="23" t="str">
        <x:v>T0</x:v>
      </x:c>
      <x:c r="B19" s="20" t="str">
        <x:v>개발 당시 실제 근거</x:v>
      </x:c>
      <x:c r="C19" s="20" t="str">
        <x:v>설계 추적</x:v>
      </x:c>
      <x:c r="D19" s="20" t="str">
        <x:v>기존 기록으로 입증</x:v>
      </x:c>
      <x:c r="E19" s="20"/>
      <x:c r="F19" s="20"/>
      <x:c r="G19" s="20"/>
      <x:c r="H19" s="20"/>
    </x:row>
    <x:row r="20" ht="22" customHeight="1">
      <x:c r="A20" s="23" t="str">
        <x:v>T1</x:v>
      </x:c>
      <x:c r="B20" s="20" t="str">
        <x:v>사후 발견·기존 문헌</x:v>
      </x:c>
      <x:c r="C20" s="20" t="str">
        <x:v>사후 보강</x:v>
      </x:c>
      <x:c r="D20" s="20" t="str">
        <x:v>개발 당시 근거로 소급 금지</x:v>
      </x:c>
      <x:c r="E20" s="20"/>
      <x:c r="F20" s="20"/>
      <x:c r="G20" s="20"/>
      <x:c r="H20" s="20"/>
    </x:row>
    <x:row r="22" ht="28" customHeight="1">
      <x:c r="A22" s="61" t="str">
        <x:v>3장 M1 체크포인트</x:v>
      </x:c>
      <x:c r="B22" s="62" t="str">
        <x:v>내용</x:v>
      </x:c>
    </x:row>
    <x:row r="23" ht="28" customHeight="1">
      <x:c r="A23" s="63" t="str">
        <x:v>완료 범위</x:v>
      </x:c>
      <x:c r="B23" s="15" t="str">
        <x:v>[03-001] 1편, [03-003] 1편, [03-004] 3편</x:v>
      </x:c>
    </x:row>
    <x:row r="24" ht="28" customHeight="1">
      <x:c r="A24" s="63" t="str">
        <x:v>최종 판정</x:v>
      </x:c>
      <x:c r="B24" s="15" t="str">
        <x:v>A 1편(Li &amp; Taguchi), B 4편</x:v>
      </x:c>
    </x:row>
    <x:row r="25" ht="28" customHeight="1">
      <x:c r="A25" s="63" t="str">
        <x:v>핵심 경계</x:v>
      </x:c>
      <x:c r="B25" s="15" t="str">
        <x:v>AI 구현 사례는 설계·위험통제 근거이며 교육효과 검증 근거가 아님</x:v>
      </x:c>
    </x:row>
    <x:row r="26" ht="28" customHeight="1">
      <x:c r="A26" s="63" t="str">
        <x:v>배치 완료</x:v>
      </x:c>
      <x:c r="B26" s="15" t="str">
        <x:v>박민준(2026)을 [03-004] 콘텐츠 워크플로우로 개명·배치하고 경로를 동기화</x:v>
      </x:c>
    </x:row>
    <x:row r="27" ht="28" customHeight="1">
      <x:c r="A27" s="63" t="str">
        <x:v>다음 보강</x:v>
      </x:c>
      <x:c r="B27" s="15" t="str">
        <x:v>교육 DDR 원전, 인간 적절성 평정, 반복 생성 품질통제, 전문가·학습자 평가</x:v>
      </x:c>
    </x:row>
  </x:sheetData>
  <x:mergeCells>
    <x:mergeCell ref="A1:H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32" hidden="0" customWidth="1"/>
    <x:col min="5" max="5" width="16" hidden="0" customWidth="1"/>
    <x:col min="6" max="6" width="12" hidden="0" customWidth="1"/>
  </x:cols>
  <x:sheetData>
    <x:row r="1">
      <x:c r="A1" s="3" t="str">
        <x:v>코퍼스 스냅숏 요약</x:v>
      </x:c>
      <x:c r="B1" s="3" t="str">
        <x:v>코퍼스 스냅숏 요약</x:v>
      </x:c>
      <x:c r="C1" s="3" t="str">
        <x:v>코퍼스 스냅숏 요약</x:v>
      </x:c>
      <x:c r="D1" s="3" t="str">
        <x:v>코퍼스 스냅숏 요약</x:v>
      </x:c>
      <x:c r="E1" s="3" t="str">
        <x:v>코퍼스 스냅숏 요약</x:v>
      </x:c>
      <x:c r="F1" s="3" t="str">
        <x:v>코퍼스 스냅숏 요약</x:v>
      </x:c>
      <x:c r="G1" s="3" t="str">
        <x:v>코퍼스 스냅숏 요약</x:v>
      </x:c>
      <x:c r="H1" s="3" t="str">
        <x:v>코퍼스 스냅숏 요약</x:v>
      </x:c>
    </x:row>
    <x:row r="2">
      <x:c r="A2" s="3" t="str">
        <x:v>코퍼스 스냅숏 요약</x:v>
      </x:c>
      <x:c r="B2" s="3" t="str">
        <x:v>코퍼스 스냅숏 요약</x:v>
      </x:c>
      <x:c r="C2" s="3" t="str">
        <x:v>코퍼스 스냅숏 요약</x:v>
      </x:c>
      <x:c r="D2" s="3" t="str">
        <x:v>코퍼스 스냅숏 요약</x:v>
      </x:c>
      <x:c r="E2" s="3" t="str">
        <x:v>코퍼스 스냅숏 요약</x:v>
      </x:c>
      <x:c r="F2" s="3" t="str">
        <x:v>코퍼스 스냅숏 요약</x:v>
      </x:c>
      <x:c r="G2" s="3" t="str">
        <x:v>코퍼스 스냅숏 요약</x:v>
      </x:c>
      <x:c r="H2" s="3" t="str">
        <x:v>코퍼스 스냅숏 요약</x:v>
      </x:c>
    </x:row>
    <x:row r="4">
      <x:c r="A4" s="10" t="str">
        <x:v>지표</x:v>
      </x:c>
      <x:c r="B4" s="18" t="str">
        <x:v>값</x:v>
      </x:c>
      <x:c r="C4" s="11" t="str">
        <x:v>설명</x:v>
      </x:c>
      <x:c r="E4" s="10" t="str">
        <x:v>절</x:v>
      </x:c>
      <x:c r="F4" s="11" t="str">
        <x:v>파일 수</x:v>
      </x:c>
    </x:row>
    <x:row r="5">
      <x:c r="A5" s="13" t="str">
        <x:v>총 파일</x:v>
      </x:c>
      <x:c r="B5" s="26" t="n">
        <x:f>COUNTA('Inventory'!$A$2:$A$300)</x:f>
        <x:v>167</x:v>
      </x:c>
      <x:c r="C5" t="str">
        <x:v>현재 폴더 스냅숏</x:v>
      </x:c>
      <x:c r="E5" s="13" t="str">
        <x:v>01-001</x:v>
      </x:c>
      <x:c r="F5" s="26" t="n">
        <x:f>COUNTIF('Inventory'!$B$2:$B$300,"01-001")</x:f>
        <x:v>3</x:v>
      </x:c>
    </x:row>
    <x:row r="6">
      <x:c r="A6" s="13" t="str">
        <x:v>PDF</x:v>
      </x:c>
      <x:c r="B6" s="26" t="n">
        <x:f>COUNTIF('Inventory'!$E$2:$E$300,"PDF")</x:f>
        <x:v>159</x:v>
      </x:c>
      <x:c r="C6" t="str">
        <x:v>원문 PDF</x:v>
      </x:c>
      <x:c r="E6" s="13" t="str">
        <x:v>01-002</x:v>
      </x:c>
      <x:c r="F6" s="26" t="n">
        <x:f>COUNTIF('Inventory'!$B$2:$B$300,"01-002")</x:f>
        <x:v>19</x:v>
      </x:c>
    </x:row>
    <x:row r="7">
      <x:c r="A7" s="13" t="str">
        <x:v>TXT</x:v>
      </x:c>
      <x:c r="B7" s="26" t="n">
        <x:f>COUNTIF('Inventory'!$E$2:$E$300,"TXT")</x:f>
        <x:v>7</x:v>
      </x:c>
      <x:c r="C7" t="str">
        <x:v>발췌·초록 텍스트</x:v>
      </x:c>
      <x:c r="E7" s="13" t="str">
        <x:v>02-001</x:v>
      </x:c>
      <x:c r="F7" s="26" t="n">
        <x:f>COUNTIF('Inventory'!$B$2:$B$300,"02-001")</x:f>
        <x:v>22</x:v>
      </x:c>
    </x:row>
    <x:row r="8">
      <x:c r="A8" s="13" t="str">
        <x:v>MD</x:v>
      </x:c>
      <x:c r="B8" s="26" t="n">
        <x:f>COUNTIF('Inventory'!$E$2:$E$300,"MD")</x:f>
        <x:v>1</x:v>
      </x:c>
      <x:c r="C8" t="str">
        <x:v>발췌 정리</x:v>
      </x:c>
      <x:c r="E8" s="13" t="str">
        <x:v>02-002</x:v>
      </x:c>
      <x:c r="F8" s="26" t="n">
        <x:f>COUNTIF('Inventory'!$B$2:$B$300,"02-002")</x:f>
        <x:v>13</x:v>
      </x:c>
    </x:row>
    <x:row r="9">
      <x:c r="A9" s="13" t="str">
        <x:v>영문</x:v>
      </x:c>
      <x:c r="B9" s="26" t="n">
        <x:f>COUNTIF('Inventory'!$C$2:$C$300,"en")</x:f>
        <x:v>71</x:v>
      </x:c>
      <x:c r="C9" t="str">
        <x:v>본문 문자 비율 기반</x:v>
      </x:c>
      <x:c r="E9" s="13" t="str">
        <x:v>02-003</x:v>
      </x:c>
      <x:c r="F9" s="26" t="n">
        <x:f>COUNTIF('Inventory'!$B$2:$B$300,"02-003")</x:f>
        <x:v>33</x:v>
      </x:c>
    </x:row>
    <x:row r="10">
      <x:c r="A10" s="13" t="str">
        <x:v>국문</x:v>
      </x:c>
      <x:c r="B10" s="26" t="n">
        <x:f>COUNTIF('Inventory'!$C$2:$C$300,"ko")</x:f>
        <x:v>55</x:v>
      </x:c>
      <x:c r="C10" t="str">
        <x:v>본문 문자 비율 기반</x:v>
      </x:c>
      <x:c r="E10" s="13" t="str">
        <x:v>02-004</x:v>
      </x:c>
      <x:c r="F10" s="26" t="n">
        <x:f>COUNTIF('Inventory'!$B$2:$B$300,"02-004")</x:f>
        <x:v>38</x:v>
      </x:c>
    </x:row>
    <x:row r="11">
      <x:c r="A11" s="13" t="str">
        <x:v>중문</x:v>
      </x:c>
      <x:c r="B11" s="26" t="n">
        <x:f>COUNTIF('Inventory'!$C$2:$C$300,"zh")</x:f>
        <x:v>40</x:v>
      </x:c>
      <x:c r="C11" t="str">
        <x:v>본문 문자 비율 기반</x:v>
      </x:c>
      <x:c r="E11" s="13" t="str">
        <x:v>02-005</x:v>
      </x:c>
      <x:c r="F11" s="26" t="n">
        <x:f>COUNTIF('Inventory'!$B$2:$B$300,"02-005")</x:f>
        <x:v>34</x:v>
      </x:c>
    </x:row>
    <x:row r="12">
      <x:c r="A12" s="13" t="str">
        <x:v>불문</x:v>
      </x:c>
      <x:c r="B12" s="26" t="n">
        <x:f>COUNTIF('Inventory'!$C$2:$C$300,"fr")</x:f>
        <x:v>1</x:v>
      </x:c>
      <x:c r="C12" t="str">
        <x:v>프랑스어 원문</x:v>
      </x:c>
      <x:c r="E12" s="13" t="str">
        <x:v>03-001</x:v>
      </x:c>
      <x:c r="F12" s="26" t="n">
        <x:f>COUNTIF('Inventory'!$B$2:$B$300,"03-001")</x:f>
        <x:v>1</x:v>
      </x:c>
    </x:row>
    <x:row r="13">
      <x:c r="A13" s="13" t="str">
        <x:v>OCR 필요</x:v>
      </x:c>
      <x:c r="B13" s="26" t="n">
        <x:f>COUNTIF('Inventory'!$H$2:$H$300,"ocr_needed")</x:f>
        <x:v>1</x:v>
      </x:c>
      <x:c r="C13" t="str">
        <x:v>현재 Byon(2005) 1편</x:v>
      </x:c>
      <x:c r="E13" s="13" t="str">
        <x:v>03-003</x:v>
      </x:c>
      <x:c r="F13" s="26" t="n">
        <x:f>COUNTIF('Inventory'!$B$2:$B$300,"03-003")</x:f>
        <x:v>1</x:v>
      </x:c>
    </x:row>
    <x:row r="14">
      <x:c r="A14" s="13" t="str">
        <x:v>목차 미배정</x:v>
      </x:c>
      <x:c r="B14" s="26" t="n">
        <x:f>B5-SUM(F5:F14)</x:f>
        <x:v>0</x:v>
      </x:c>
      <x:c r="C14" t="str">
        <x:v>새로 추가된 파일</x:v>
      </x:c>
      <x:c r="E14" s="13" t="str">
        <x:v>03-004</x:v>
      </x:c>
      <x:c r="F14" s="26" t="n">
        <x:f>COUNTIF('Inventory'!$B$2:$B$300,"03-004")</x:f>
        <x:v>3</x:v>
      </x:c>
    </x:row>
    <x:row r="15">
      <x:c r="E15" s="13" t="str">
        <x:v>미배정</x:v>
      </x:c>
      <x:c r="F15" s="26" t="n">
        <x:f>B5-SUM(F5:F14)</x:f>
        <x:v>0</x:v>
      </x:c>
    </x:row>
  </x:sheetData>
  <x:mergeCells>
    <x:mergeCell ref="A1:H2"/>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9" hidden="0" customWidth="1"/>
    <x:col min="2" max="2" width="14" hidden="0" customWidth="1"/>
    <x:col min="3" max="3" width="10" hidden="0" customWidth="1"/>
    <x:col min="4" max="4" width="62" hidden="0" customWidth="1"/>
    <x:col min="5" max="5" width="10" hidden="0" customWidth="1"/>
    <x:col min="6" max="6" width="10" hidden="0" customWidth="1"/>
    <x:col min="7" max="7" width="15" hidden="0" customWidth="1"/>
    <x:col min="8" max="8" width="14" hidden="0" customWidth="1"/>
    <x:col min="9" max="9" width="24" hidden="0" customWidth="1"/>
    <x:col min="10" max="10" width="10" hidden="0" customWidth="1"/>
    <x:col min="11" max="11" width="52" hidden="0" customWidth="1"/>
    <x:col min="12" max="12" width="28" hidden="0" customWidth="1"/>
    <x:col min="13" max="13" width="15" hidden="0" customWidth="1"/>
    <x:col min="14" max="14" width="12" hidden="0" customWidth="1"/>
    <x:col min="15" max="15" width="11" hidden="0" customWidth="1"/>
    <x:col min="16" max="16" width="12" hidden="0" customWidth="1"/>
    <x:col min="17" max="17" width="12" hidden="0" customWidth="1"/>
    <x:col min="18" max="18" width="12" hidden="0" customWidth="1"/>
    <x:col min="19" max="19" width="12" hidden="0" customWidth="1"/>
    <x:col min="20" max="20" width="12" hidden="0" customWidth="1"/>
    <x:col min="21" max="21" width="12" hidden="0" customWidth="1"/>
    <x:col min="22" max="22" width="12" hidden="0" customWidth="1"/>
    <x:col min="23" max="23" width="20" hidden="0" customWidth="1"/>
    <x:col min="24" max="24" width="14" hidden="0" customWidth="1"/>
    <x:col min="25" max="25" width="16" hidden="0" customWidth="1"/>
    <x:col min="26" max="26" width="24" hidden="0" customWidth="1"/>
    <x:col min="27" max="27" width="28" hidden="0" customWidth="1"/>
    <x:col min="28" max="28" width="18" hidden="0" customWidth="1"/>
    <x:col min="29" max="29" width="70" hidden="0" customWidth="1"/>
    <x:col min="30" max="30" width="20" hidden="0" customWidth="1"/>
    <x:col min="31" max="31" width="15" hidden="0" customWidth="1"/>
    <x:col min="32" max="32" width="24" hidden="0" customWidth="1"/>
    <x:col min="33" max="33" width="14" hidden="0" customWidth="1"/>
  </x:cols>
  <x:sheetData>
    <x:row r="1">
      <x:c r="A1" s="10" t="str">
        <x:v>work_id</x:v>
      </x:c>
      <x:c r="B1" s="18" t="str">
        <x:v>assigned_section</x:v>
      </x:c>
      <x:c r="C1" s="18" t="str">
        <x:v>primary_language</x:v>
      </x:c>
      <x:c r="D1" s="18" t="str">
        <x:v>exact_filename</x:v>
      </x:c>
      <x:c r="E1" s="18" t="str">
        <x:v>file_format</x:v>
      </x:c>
      <x:c r="F1" s="18" t="str">
        <x:v>page_count</x:v>
      </x:c>
      <x:c r="G1" s="18" t="str">
        <x:v>source_completeness</x:v>
      </x:c>
      <x:c r="H1" s="18" t="str">
        <x:v>text_status</x:v>
      </x:c>
      <x:c r="I1" s="18" t="str">
        <x:v>authors_original</x:v>
      </x:c>
      <x:c r="J1" s="18" t="str">
        <x:v>year</x:v>
      </x:c>
      <x:c r="K1" s="18" t="str">
        <x:v>title_original</x:v>
      </x:c>
      <x:c r="L1" s="18" t="str">
        <x:v>filename_tags</x:v>
      </x:c>
      <x:c r="M1" s="18" t="str">
        <x:v>document_type</x:v>
      </x:c>
      <x:c r="N1" s="18" t="str">
        <x:v>reading_level</x:v>
      </x:c>
      <x:c r="O1" s="18" t="str">
        <x:v>priority_tier</x:v>
      </x:c>
      <x:c r="P1" s="18" t="str">
        <x:v>score_directness_0_4</x:v>
      </x:c>
      <x:c r="Q1" s="18" t="str">
        <x:v>score_evidence_0_3</x:v>
      </x:c>
      <x:c r="R1" s="18" t="str">
        <x:v>score_method_0_3</x:v>
      </x:c>
      <x:c r="S1" s="18" t="str">
        <x:v>score_lang_pair_0_3</x:v>
      </x:c>
      <x:c r="T1" s="18" t="str">
        <x:v>score_design_0_3</x:v>
      </x:c>
      <x:c r="U1" s="18" t="str">
        <x:v>score_canonical_0_2</x:v>
      </x:c>
      <x:c r="V1" s="18" t="str">
        <x:v>priority_score</x:v>
      </x:c>
      <x:c r="W1" s="18" t="str">
        <x:v>possible_chapter_uses</x:v>
      </x:c>
      <x:c r="X1" s="18" t="str">
        <x:v>evidence_timing</x:v>
      </x:c>
      <x:c r="Y1" s="18" t="str">
        <x:v>citation_status</x:v>
      </x:c>
      <x:c r="Z1" s="18" t="str">
        <x:v>bibliographic_uncertainty</x:v>
      </x:c>
      <x:c r="AA1" s="18" t="str">
        <x:v>extraction_note</x:v>
      </x:c>
      <x:c r="AB1" s="18" t="str">
        <x:v>exact_duplicate_group</x:v>
      </x:c>
      <x:c r="AC1" s="18" t="str">
        <x:v>exact_path</x:v>
      </x:c>
      <x:c r="AD1" s="18" t="str">
        <x:v>modified_at</x:v>
      </x:c>
      <x:c r="AE1" s="18" t="str">
        <x:v>file_size_bytes</x:v>
      </x:c>
      <x:c r="AF1" s="18" t="str">
        <x:v>sha256</x:v>
      </x:c>
      <x:c r="AG1" s="11" t="str">
        <x:v>calibration_selected</x:v>
      </x:c>
    </x:row>
    <x:row r="2" ht="18" customHeight="1">
      <x:c r="A2" s="27" t="str">
        <x:v>LIT-20260814-001</x:v>
      </x:c>
      <x:c r="B2" s="27" t="str">
        <x:v>01-001</x:v>
      </x:c>
      <x:c r="C2" s="27" t="str">
        <x:v>en</x:v>
      </x:c>
      <x:c r="D2" s="27" t="str">
        <x:v>[01-001]_Economidou-Kogetsidis(2011)_Pragmatic failure in non-native speakers' e-mail requests_화용실패·이메일요청.pdf</x:v>
      </x:c>
      <x:c r="E2" s="27" t="str">
        <x:v>PDF</x:v>
      </x:c>
      <x:c r="F2" s="27" t="n">
        <x:v>23</x:v>
      </x:c>
      <x:c r="G2" s="27" t="str">
        <x:v>full</x:v>
      </x:c>
      <x:c r="H2" s="27" t="str">
        <x:v>native</x:v>
      </x:c>
      <x:c r="I2" s="27" t="str">
        <x:v>Economidou-Kogetsidis</x:v>
      </x:c>
      <x:c r="J2" s="27" t="str">
        <x:v>2011</x:v>
      </x:c>
      <x:c r="K2" s="27" t="str">
        <x:v>Pragmatic failure in non-native speakers' e-mail requests</x:v>
      </x:c>
      <x:c r="L2" s="27" t="str">
        <x:v>화용실패·이메일요청</x:v>
      </x:c>
      <x:c r="M2" s="27" t="str">
        <x:v>unverified</x:v>
      </x:c>
      <x:c r="N2" s="27" t="str">
        <x:v>M0</x:v>
      </x:c>
      <x:c r="O2" s="27" t="str"/>
      <x:c r="P2" s="27"/>
      <x:c r="Q2" s="27"/>
      <x:c r="R2" s="27"/>
      <x:c r="S2" s="27"/>
      <x:c r="T2" s="27"/>
      <x:c r="U2" s="27"/>
      <x:c r="V2" s="27" t="str">
        <x:f>IF(COUNTA(P2:U2)=0,"",SUM(P2:U2))</x:f>
      </x:c>
      <x:c r="W2" s="27" t="str">
        <x:v>01-001</x:v>
      </x:c>
      <x:c r="X2" s="27" t="str">
        <x:v>T1_candidate</x:v>
      </x:c>
      <x:c r="Y2" s="27" t="str">
        <x:v>owned</x:v>
      </x:c>
      <x:c r="Z2" s="27" t="str"/>
      <x:c r="AA2" s="27" t="str"/>
      <x:c r="AB2" s="27" t="str"/>
      <x:c r="AC2" s="27" t="str">
        <x:v>C:\PRAGMA_THESIS_LOCAL\02_문헌\학술문헌\[01-001]_Economidou-Kogetsidis(2011)_Pragmatic failure in non-native speakers' e-mail requests_화용실패·이메일요청.pdf</x:v>
      </x:c>
      <x:c r="AD2" s="27" t="str">
        <x:v>2026-04-10T18:22:05</x:v>
      </x:c>
      <x:c r="AE2" s="28" t="n">
        <x:v>358008</x:v>
      </x:c>
      <x:c r="AF2" s="27" t="str">
        <x:v>7fae66bf52b32ef784777512bdfde27ab9b9c88904670d7fffab3e70318aa625</x:v>
      </x:c>
      <x:c r="AG2" s="27" t="str"/>
    </x:row>
    <x:row r="3" ht="18" customHeight="1">
      <x:c r="A3" s="27" t="str">
        <x:v>LIT-20260814-002</x:v>
      </x:c>
      <x:c r="B3" s="27" t="str">
        <x:v>01-001</x:v>
      </x:c>
      <x:c r="C3" s="27" t="str">
        <x:v>en</x:v>
      </x:c>
      <x:c r="D3" s="27" t="str">
        <x:v>[01-001]_Fu &amp; Wang(2021)_통역 영어의 헤지 감소 (초록만)_헤지·중미정치브리핑.txt</x:v>
      </x:c>
      <x:c r="E3" s="27" t="str">
        <x:v>TXT</x:v>
      </x:c>
      <x:c r="F3" s="27"/>
      <x:c r="G3" s="27" t="str">
        <x:v>excerpt</x:v>
      </x:c>
      <x:c r="H3" s="27" t="str">
        <x:v>native</x:v>
      </x:c>
      <x:c r="I3" s="27" t="str">
        <x:v>Fu &amp; Wang</x:v>
      </x:c>
      <x:c r="J3" s="27" t="str">
        <x:v>2021</x:v>
      </x:c>
      <x:c r="K3" s="27" t="str">
        <x:v>통역 영어의 헤지 감소 (초록만)</x:v>
      </x:c>
      <x:c r="L3" s="27" t="str">
        <x:v>헤지·중미정치브리핑</x:v>
      </x:c>
      <x:c r="M3" s="27" t="str">
        <x:v>unverified</x:v>
      </x:c>
      <x:c r="N3" s="27" t="str">
        <x:v>M0</x:v>
      </x:c>
      <x:c r="O3" s="27" t="str"/>
      <x:c r="P3" s="27"/>
      <x:c r="Q3" s="27"/>
      <x:c r="R3" s="27"/>
      <x:c r="S3" s="27"/>
      <x:c r="T3" s="27"/>
      <x:c r="U3" s="27"/>
      <x:c r="V3" s="27" t="str">
        <x:f>IF(COUNTA(P3:U3)=0,"",SUM(P3:U3))</x:f>
      </x:c>
      <x:c r="W3" s="27" t="str">
        <x:v>01-001</x:v>
      </x:c>
      <x:c r="X3" s="27" t="str">
        <x:v>T1_candidate</x:v>
      </x:c>
      <x:c r="Y3" s="27" t="str">
        <x:v>owned</x:v>
      </x:c>
      <x:c r="Z3" s="27" t="str"/>
      <x:c r="AA3" s="27" t="str"/>
      <x:c r="AB3" s="27" t="str"/>
      <x:c r="AC3" s="27" t="str">
        <x:v>C:\PRAGMA_THESIS_LOCAL\02_문헌\학술문헌\[01-001]_Fu &amp; Wang(2021)_통역 영어의 헤지 감소 (초록만)_헤지·중미정치브리핑.txt</x:v>
      </x:c>
      <x:c r="AD3" s="27" t="str">
        <x:v>2026-08-13T17:06:14</x:v>
      </x:c>
      <x:c r="AE3" s="28" t="n">
        <x:v>1534</x:v>
      </x:c>
      <x:c r="AF3" s="27" t="str">
        <x:v>8b482ee6ca72a95ca2b933d92eb23c9313731c44a10c0bcc005a0ba0bbff2ceb</x:v>
      </x:c>
      <x:c r="AG3" s="27" t="str"/>
    </x:row>
    <x:row r="4" ht="18" customHeight="1">
      <x:c r="A4" s="27" t="str">
        <x:v>LIT-20260814-003</x:v>
      </x:c>
      <x:c r="B4" s="27" t="str">
        <x:v>01-001</x:v>
      </x:c>
      <x:c r="C4" s="27" t="str">
        <x:v>en</x:v>
      </x:c>
      <x:c r="D4" s="27" t="str">
        <x:v>[01-001]_Valdeon(2025)_Automated translation and pragmatic force_기계번역·화용적힘.pdf</x:v>
      </x:c>
      <x:c r="E4" s="27" t="str">
        <x:v>PDF</x:v>
      </x:c>
      <x:c r="F4" s="27" t="n">
        <x:v>18</x:v>
      </x:c>
      <x:c r="G4" s="27" t="str">
        <x:v>full</x:v>
      </x:c>
      <x:c r="H4" s="27" t="str">
        <x:v>native</x:v>
      </x:c>
      <x:c r="I4" s="27" t="str">
        <x:v>Valdeon</x:v>
      </x:c>
      <x:c r="J4" s="27" t="str">
        <x:v>2025</x:v>
      </x:c>
      <x:c r="K4" s="27" t="str">
        <x:v>Automated translation and pragmatic force</x:v>
      </x:c>
      <x:c r="L4" s="27" t="str">
        <x:v>기계번역·화용적힘</x:v>
      </x:c>
      <x:c r="M4" s="27" t="str">
        <x:v>unverified</x:v>
      </x:c>
      <x:c r="N4" s="27" t="str">
        <x:v>M0</x:v>
      </x:c>
      <x:c r="O4" s="27" t="str"/>
      <x:c r="P4" s="27"/>
      <x:c r="Q4" s="27"/>
      <x:c r="R4" s="27"/>
      <x:c r="S4" s="27"/>
      <x:c r="T4" s="27"/>
      <x:c r="U4" s="27"/>
      <x:c r="V4" s="27" t="str">
        <x:f>IF(COUNTA(P4:U4)=0,"",SUM(P4:U4))</x:f>
      </x:c>
      <x:c r="W4" s="27" t="str">
        <x:v>01-001</x:v>
      </x:c>
      <x:c r="X4" s="27" t="str">
        <x:v>T1_candidate</x:v>
      </x:c>
      <x:c r="Y4" s="27" t="str">
        <x:v>owned</x:v>
      </x:c>
      <x:c r="Z4" s="27" t="str"/>
      <x:c r="AA4" s="27" t="str"/>
      <x:c r="AB4" s="27" t="str"/>
      <x:c r="AC4" s="27" t="str">
        <x:v>C:\PRAGMA_THESIS_LOCAL\02_문헌\학술문헌\[01-001]_Valdeon(2025)_Automated translation and pragmatic force_기계번역·화용적힘.pdf</x:v>
      </x:c>
      <x:c r="AD4" s="27" t="str">
        <x:v>2026-05-23T09:50:31</x:v>
      </x:c>
      <x:c r="AE4" s="28" t="n">
        <x:v>332935</x:v>
      </x:c>
      <x:c r="AF4" s="27" t="str">
        <x:v>2c2e76ec450e686cb03fe75d3cf943e3f139c2b28cfad6f4c546c51c7c44450f</x:v>
      </x:c>
      <x:c r="AG4" s="27" t="str"/>
    </x:row>
    <x:row r="5" ht="18" customHeight="1">
      <x:c r="A5" s="27" t="str">
        <x:v>LIT-20260814-004</x:v>
      </x:c>
      <x:c r="B5" s="27" t="str">
        <x:v>01-002</x:v>
      </x:c>
      <x:c r="C5" s="27" t="str">
        <x:v>en</x:v>
      </x:c>
      <x:c r="D5" s="27" t="str">
        <x:v>[01-002]_Cande &amp; Martinho(2026)_AI in Translation and Interpreting in Education A Systematic Review_AI통번역교육·문헌고찰.pdf</x:v>
      </x:c>
      <x:c r="E5" s="27" t="str">
        <x:v>PDF</x:v>
      </x:c>
      <x:c r="F5" s="27" t="n">
        <x:v>20</x:v>
      </x:c>
      <x:c r="G5" s="27" t="str">
        <x:v>full</x:v>
      </x:c>
      <x:c r="H5" s="27" t="str">
        <x:v>native</x:v>
      </x:c>
      <x:c r="I5" s="27" t="str">
        <x:v>Cande &amp; Martinho</x:v>
      </x:c>
      <x:c r="J5" s="27" t="str">
        <x:v>2026</x:v>
      </x:c>
      <x:c r="K5" s="27" t="str">
        <x:v>AI in Translation and Interpreting in Education A Systematic Review</x:v>
      </x:c>
      <x:c r="L5" s="27" t="str">
        <x:v>AI통번역교육·문헌고찰</x:v>
      </x:c>
      <x:c r="M5" s="27" t="str">
        <x:v>unverified</x:v>
      </x:c>
      <x:c r="N5" s="27" t="str">
        <x:v>M0</x:v>
      </x:c>
      <x:c r="O5" s="27" t="str"/>
      <x:c r="P5" s="27"/>
      <x:c r="Q5" s="27"/>
      <x:c r="R5" s="27"/>
      <x:c r="S5" s="27"/>
      <x:c r="T5" s="27"/>
      <x:c r="U5" s="27"/>
      <x:c r="V5" s="27" t="str">
        <x:f>IF(COUNTA(P5:U5)=0,"",SUM(P5:U5))</x:f>
      </x:c>
      <x:c r="W5" s="27" t="str">
        <x:v>01-002</x:v>
      </x:c>
      <x:c r="X5" s="27" t="str">
        <x:v>T1_candidate</x:v>
      </x:c>
      <x:c r="Y5" s="27" t="str">
        <x:v>owned</x:v>
      </x:c>
      <x:c r="Z5" s="27" t="str"/>
      <x:c r="AA5" s="27" t="str"/>
      <x:c r="AB5" s="27" t="str"/>
      <x:c r="AC5" s="27" t="str">
        <x:v>C:\PRAGMA_THESIS_LOCAL\02_문헌\학술문헌\[01-002]_Cande &amp; Martinho(2026)_AI in Translation and Interpreting in Education A Systematic Review_AI통번역교육·문헌고찰.pdf</x:v>
      </x:c>
      <x:c r="AD5" s="27" t="str">
        <x:v>2026-06-20T11:22:16</x:v>
      </x:c>
      <x:c r="AE5" s="28" t="n">
        <x:v>362015</x:v>
      </x:c>
      <x:c r="AF5" s="27" t="str">
        <x:v>ee0f2bad865e195b7f449b700f00ba1c2b3785455e9b59daccb0b343d9fd0c4c</x:v>
      </x:c>
      <x:c r="AG5" s="27" t="str"/>
    </x:row>
    <x:row r="6" ht="18" customHeight="1">
      <x:c r="A6" s="27" t="str">
        <x:v>LIT-20260814-005</x:v>
      </x:c>
      <x:c r="B6" s="27" t="str">
        <x:v>01-002</x:v>
      </x:c>
      <x:c r="C6" s="27" t="str">
        <x:v>fr</x:v>
      </x:c>
      <x:c r="D6" s="27" t="str">
        <x:v>[01-002]_Jeanmaire &amp; Kim(2024)_Adaptation d'un dispositif pedagogique a la traduction litteraire plurilingue_AI번역교육·문학번역.pdf</x:v>
      </x:c>
      <x:c r="E6" s="27" t="str">
        <x:v>PDF</x:v>
      </x:c>
      <x:c r="F6" s="27" t="n">
        <x:v>33</x:v>
      </x:c>
      <x:c r="G6" s="27" t="str">
        <x:v>full</x:v>
      </x:c>
      <x:c r="H6" s="27" t="str">
        <x:v>native</x:v>
      </x:c>
      <x:c r="I6" s="27" t="str">
        <x:v>Jeanmaire &amp; Kim</x:v>
      </x:c>
      <x:c r="J6" s="27" t="str">
        <x:v>2024</x:v>
      </x:c>
      <x:c r="K6" s="27" t="str">
        <x:v>Adaptation d'un dispositif pedagogique a la traduction litteraire plurilingue</x:v>
      </x:c>
      <x:c r="L6" s="27" t="str">
        <x:v>AI번역교육·문학번역</x:v>
      </x:c>
      <x:c r="M6" s="27" t="str">
        <x:v>unverified</x:v>
      </x:c>
      <x:c r="N6" s="27" t="str">
        <x:v>M0</x:v>
      </x:c>
      <x:c r="O6" s="27" t="str"/>
      <x:c r="P6" s="27"/>
      <x:c r="Q6" s="27"/>
      <x:c r="R6" s="27"/>
      <x:c r="S6" s="27"/>
      <x:c r="T6" s="27"/>
      <x:c r="U6" s="27"/>
      <x:c r="V6" s="27" t="str">
        <x:f>IF(COUNTA(P6:U6)=0,"",SUM(P6:U6))</x:f>
      </x:c>
      <x:c r="W6" s="27" t="str">
        <x:v>01-002</x:v>
      </x:c>
      <x:c r="X6" s="27" t="str">
        <x:v>T1_candidate</x:v>
      </x:c>
      <x:c r="Y6" s="27" t="str">
        <x:v>owned</x:v>
      </x:c>
      <x:c r="Z6" s="27" t="str"/>
      <x:c r="AA6" s="27" t="str"/>
      <x:c r="AB6" s="27" t="str"/>
      <x:c r="AC6" s="27" t="str">
        <x:v>C:\PRAGMA_THESIS_LOCAL\02_문헌\학술문헌\[01-002]_Jeanmaire &amp; Kim(2024)_Adaptation d'un dispositif pedagogique a la traduction litteraire plurilingue_AI번역교육·문학번역.pdf</x:v>
      </x:c>
      <x:c r="AD6" s="27" t="str">
        <x:v>2026-08-13T20:33:47</x:v>
      </x:c>
      <x:c r="AE6" s="28" t="n">
        <x:v>537972</x:v>
      </x:c>
      <x:c r="AF6" s="27" t="str">
        <x:v>a4e0fda28df0e79ccba63bc2d4ee605326481f9f07b6cafeaf02ded0155f1cd1</x:v>
      </x:c>
      <x:c r="AG6" s="27" t="str"/>
    </x:row>
    <x:row r="7" ht="18" customHeight="1">
      <x:c r="A7" s="27" t="str">
        <x:v>LIT-20260814-006</x:v>
      </x:c>
      <x:c r="B7" s="27" t="str">
        <x:v>01-002</x:v>
      </x:c>
      <x:c r="C7" s="27" t="str">
        <x:v>en</x:v>
      </x:c>
      <x:c r="D7" s="27" t="str">
        <x:v>[01-002]_Lee(2026)_Systematic Literature Review on Instructors' Roles in ChatGPT-based English Learning_AI교육·교수자역할.pdf</x:v>
      </x:c>
      <x:c r="E7" s="27" t="str">
        <x:v>PDF</x:v>
      </x:c>
      <x:c r="F7" s="27" t="n">
        <x:v>19</x:v>
      </x:c>
      <x:c r="G7" s="27" t="str">
        <x:v>full</x:v>
      </x:c>
      <x:c r="H7" s="27" t="str">
        <x:v>native</x:v>
      </x:c>
      <x:c r="I7" s="27" t="str">
        <x:v>Lee</x:v>
      </x:c>
      <x:c r="J7" s="27" t="str">
        <x:v>2026</x:v>
      </x:c>
      <x:c r="K7" s="27" t="str">
        <x:v>Systematic Literature Review on Instructors' Roles in ChatGPT-based English Learning</x:v>
      </x:c>
      <x:c r="L7" s="27" t="str">
        <x:v>AI교육·교수자역할</x:v>
      </x:c>
      <x:c r="M7" s="27" t="str">
        <x:v>unverified</x:v>
      </x:c>
      <x:c r="N7" s="27" t="str">
        <x:v>M0</x:v>
      </x:c>
      <x:c r="O7" s="27" t="str"/>
      <x:c r="P7" s="27"/>
      <x:c r="Q7" s="27"/>
      <x:c r="R7" s="27"/>
      <x:c r="S7" s="27"/>
      <x:c r="T7" s="27"/>
      <x:c r="U7" s="27"/>
      <x:c r="V7" s="27" t="str">
        <x:f>IF(COUNTA(P7:U7)=0,"",SUM(P7:U7))</x:f>
      </x:c>
      <x:c r="W7" s="27" t="str">
        <x:v>01-002</x:v>
      </x:c>
      <x:c r="X7" s="27" t="str">
        <x:v>T1_candidate</x:v>
      </x:c>
      <x:c r="Y7" s="27" t="str">
        <x:v>owned</x:v>
      </x:c>
      <x:c r="Z7" s="27" t="str"/>
      <x:c r="AA7" s="27" t="str"/>
      <x:c r="AB7" s="27" t="str"/>
      <x:c r="AC7" s="27" t="str">
        <x:v>C:\PRAGMA_THESIS_LOCAL\02_문헌\학술문헌\[01-002]_Lee(2026)_Systematic Literature Review on Instructors' Roles in ChatGPT-based English Learning_AI교육·교수자역할.pdf</x:v>
      </x:c>
      <x:c r="AD7" s="27" t="str">
        <x:v>2026-08-13T20:49:32</x:v>
      </x:c>
      <x:c r="AE7" s="28" t="n">
        <x:v>417334</x:v>
      </x:c>
      <x:c r="AF7" s="27" t="str">
        <x:v>0495c06e80323002fb3d39bc34f5a406eacc480a4a028c820294b7c66212de28</x:v>
      </x:c>
      <x:c r="AG7" s="27" t="str"/>
    </x:row>
    <x:row r="8" ht="18" customHeight="1">
      <x:c r="A8" s="27" t="str">
        <x:v>LIT-20260814-007</x:v>
      </x:c>
      <x:c r="B8" s="27" t="str">
        <x:v>01-002</x:v>
      </x:c>
      <x:c r="C8" s="27" t="str">
        <x:v>en</x:v>
      </x:c>
      <x:c r="D8" s="27" t="str">
        <x:v>[01-002]_Qi &amp; Chen(2025)_A Systematic Review of Technology Integration in Developing L2 Pragmatic Competence_기술기반화용교육·문헌고찰.pdf</x:v>
      </x:c>
      <x:c r="E8" s="27" t="str">
        <x:v>PDF</x:v>
      </x:c>
      <x:c r="F8" s="27" t="n">
        <x:v>16</x:v>
      </x:c>
      <x:c r="G8" s="27" t="str">
        <x:v>full</x:v>
      </x:c>
      <x:c r="H8" s="27" t="str">
        <x:v>native</x:v>
      </x:c>
      <x:c r="I8" s="27" t="str">
        <x:v>Qi &amp; Chen</x:v>
      </x:c>
      <x:c r="J8" s="27" t="str">
        <x:v>2025</x:v>
      </x:c>
      <x:c r="K8" s="27" t="str">
        <x:v>A Systematic Review of Technology Integration in Developing L2 Pragmatic Competence</x:v>
      </x:c>
      <x:c r="L8" s="27" t="str">
        <x:v>기술기반화용교육·문헌고찰</x:v>
      </x:c>
      <x:c r="M8" s="27" t="str">
        <x:v>unverified</x:v>
      </x:c>
      <x:c r="N8" s="27" t="str">
        <x:v>M0</x:v>
      </x:c>
      <x:c r="O8" s="27" t="str"/>
      <x:c r="P8" s="27"/>
      <x:c r="Q8" s="27"/>
      <x:c r="R8" s="27"/>
      <x:c r="S8" s="27"/>
      <x:c r="T8" s="27"/>
      <x:c r="U8" s="27"/>
      <x:c r="V8" s="27" t="str">
        <x:f>IF(COUNTA(P8:U8)=0,"",SUM(P8:U8))</x:f>
      </x:c>
      <x:c r="W8" s="27" t="str">
        <x:v>01-002</x:v>
      </x:c>
      <x:c r="X8" s="27" t="str">
        <x:v>T1_candidate</x:v>
      </x:c>
      <x:c r="Y8" s="27" t="str">
        <x:v>owned</x:v>
      </x:c>
      <x:c r="Z8" s="27" t="str"/>
      <x:c r="AA8" s="27" t="str"/>
      <x:c r="AB8" s="27" t="str"/>
      <x:c r="AC8" s="27" t="str">
        <x:v>C:\PRAGMA_THESIS_LOCAL\02_문헌\학술문헌\[01-002]_Qi &amp; Chen(2025)_A Systematic Review of Technology Integration in Developing L2 Pragmatic Competence_기술기반화용교육·문헌고찰.pdf</x:v>
      </x:c>
      <x:c r="AD8" s="27" t="str">
        <x:v>2026-04-21T15:01:09</x:v>
      </x:c>
      <x:c r="AE8" s="28" t="n">
        <x:v>404531</x:v>
      </x:c>
      <x:c r="AF8" s="27" t="str">
        <x:v>431f6cea45302ebd6ac97ebc761e4ad23c36012dca31fb744e3cff18202df295</x:v>
      </x:c>
      <x:c r="AG8" s="27" t="str"/>
    </x:row>
    <x:row r="9" ht="18" customHeight="1">
      <x:c r="A9" s="27" t="str">
        <x:v>LIT-20260814-008</x:v>
      </x:c>
      <x:c r="B9" s="27" t="str">
        <x:v>01-002</x:v>
      </x:c>
      <x:c r="C9" s="27" t="str">
        <x:v>en</x:v>
      </x:c>
      <x:c r="D9" s="27" t="str">
        <x:v>[01-002]_Sydorenko et al.(2018)_Refining pragmatically-appropriate oral communication via computer-simulated conversations_화용산출·시스템선행.pdf</x:v>
      </x:c>
      <x:c r="E9" s="27" t="str">
        <x:v>PDF</x:v>
      </x:c>
      <x:c r="F9" s="27" t="n">
        <x:v>25</x:v>
      </x:c>
      <x:c r="G9" s="27" t="str">
        <x:v>full</x:v>
      </x:c>
      <x:c r="H9" s="27" t="str">
        <x:v>native</x:v>
      </x:c>
      <x:c r="I9" s="27" t="str">
        <x:v>Sydorenko et al.</x:v>
      </x:c>
      <x:c r="J9" s="27" t="str">
        <x:v>2018</x:v>
      </x:c>
      <x:c r="K9" s="27" t="str">
        <x:v>Refining pragmatically-appropriate oral communication via computer-simulated conversations</x:v>
      </x:c>
      <x:c r="L9" s="27" t="str">
        <x:v>화용산출·시스템선행</x:v>
      </x:c>
      <x:c r="M9" s="27" t="str">
        <x:v>unverified</x:v>
      </x:c>
      <x:c r="N9" s="27" t="str">
        <x:v>M0</x:v>
      </x:c>
      <x:c r="O9" s="27" t="str"/>
      <x:c r="P9" s="27"/>
      <x:c r="Q9" s="27"/>
      <x:c r="R9" s="27"/>
      <x:c r="S9" s="27"/>
      <x:c r="T9" s="27"/>
      <x:c r="U9" s="27"/>
      <x:c r="V9" s="27" t="str">
        <x:f>IF(COUNTA(P9:U9)=0,"",SUM(P9:U9))</x:f>
      </x:c>
      <x:c r="W9" s="27" t="str">
        <x:v>01-002</x:v>
      </x:c>
      <x:c r="X9" s="27" t="str">
        <x:v>T1_candidate</x:v>
      </x:c>
      <x:c r="Y9" s="27" t="str">
        <x:v>owned</x:v>
      </x:c>
      <x:c r="Z9" s="27" t="str"/>
      <x:c r="AA9" s="27" t="str"/>
      <x:c r="AB9" s="27" t="str"/>
      <x:c r="AC9" s="27" t="str">
        <x:v>C:\PRAGMA_THESIS_LOCAL\02_문헌\학술문헌\[01-002]_Sydorenko et al.(2018)_Refining pragmatically-appropriate oral communication via computer-simulated conversations_화용산출·시스템선행.pdf</x:v>
      </x:c>
      <x:c r="AD9" s="27" t="str">
        <x:v>2026-08-13T16:35:20</x:v>
      </x:c>
      <x:c r="AE9" s="28" t="n">
        <x:v>1160081</x:v>
      </x:c>
      <x:c r="AF9" s="27" t="str">
        <x:v>005d7728266ff5f0cfe097b0dcce3665a1c0447fc4d321d6faaad727a5952495</x:v>
      </x:c>
      <x:c r="AG9" s="27" t="str"/>
    </x:row>
    <x:row r="10" ht="18" customHeight="1">
      <x:c r="A10" s="27" t="str">
        <x:v>LIT-20260814-009</x:v>
      </x:c>
      <x:c r="B10" s="27" t="str">
        <x:v>01-002</x:v>
      </x:c>
      <x:c r="C10" s="27" t="str">
        <x:v>en</x:v>
      </x:c>
      <x:c r="D10" s="27" t="str">
        <x:v>[01-002]_Sydorenko(2015)_구조화 과제 vs 동료 역할극 (초록+부록)_화용산출·과제유형.txt</x:v>
      </x:c>
      <x:c r="E10" s="27" t="str">
        <x:v>TXT</x:v>
      </x:c>
      <x:c r="F10" s="27"/>
      <x:c r="G10" s="27" t="str">
        <x:v>excerpt</x:v>
      </x:c>
      <x:c r="H10" s="27" t="str">
        <x:v>native</x:v>
      </x:c>
      <x:c r="I10" s="27" t="str">
        <x:v>Sydorenko</x:v>
      </x:c>
      <x:c r="J10" s="27" t="str">
        <x:v>2015</x:v>
      </x:c>
      <x:c r="K10" s="27" t="str">
        <x:v>구조화 과제 vs 동료 역할극 (초록+부록)</x:v>
      </x:c>
      <x:c r="L10" s="27" t="str">
        <x:v>화용산출·과제유형</x:v>
      </x:c>
      <x:c r="M10" s="27" t="str">
        <x:v>unverified</x:v>
      </x:c>
      <x:c r="N10" s="27" t="str">
        <x:v>M0</x:v>
      </x:c>
      <x:c r="O10" s="27" t="str"/>
      <x:c r="P10" s="27"/>
      <x:c r="Q10" s="27"/>
      <x:c r="R10" s="27"/>
      <x:c r="S10" s="27"/>
      <x:c r="T10" s="27"/>
      <x:c r="U10" s="27"/>
      <x:c r="V10" s="27" t="str">
        <x:f>IF(COUNTA(P10:U10)=0,"",SUM(P10:U10))</x:f>
      </x:c>
      <x:c r="W10" s="27" t="str">
        <x:v>01-002</x:v>
      </x:c>
      <x:c r="X10" s="27" t="str">
        <x:v>T1_candidate</x:v>
      </x:c>
      <x:c r="Y10" s="27" t="str">
        <x:v>owned</x:v>
      </x:c>
      <x:c r="Z10" s="27" t="str"/>
      <x:c r="AA10" s="27" t="str"/>
      <x:c r="AB10" s="27" t="str"/>
      <x:c r="AC10" s="27" t="str">
        <x:v>C:\PRAGMA_THESIS_LOCAL\02_문헌\학술문헌\[01-002]_Sydorenko(2015)_구조화 과제 vs 동료 역할극 (초록+부록)_화용산출·과제유형.txt</x:v>
      </x:c>
      <x:c r="AD10" s="27" t="str">
        <x:v>2026-08-13T17:06:14</x:v>
      </x:c>
      <x:c r="AE10" s="28" t="n">
        <x:v>26490</x:v>
      </x:c>
      <x:c r="AF10" s="27" t="str">
        <x:v>9af56c6569935c373a7732b28888af2e1affb0d2dba09f22935244f3ff9bf7e7</x:v>
      </x:c>
      <x:c r="AG10" s="27" t="str"/>
    </x:row>
    <x:row r="11" ht="18" customHeight="1">
      <x:c r="A11" s="27" t="str">
        <x:v>LIT-20260814-010</x:v>
      </x:c>
      <x:c r="B11" s="27" t="str">
        <x:v>01-002</x:v>
      </x:c>
      <x:c r="C11" s="27" t="str">
        <x:v>ko</x:v>
      </x:c>
      <x:c r="D11" s="27" t="str">
        <x:v>[01-002]_李阿衡(2023)_챗GPT의 번역 수업 활용 방안 고찰 한중과학기술번역_AI번역교육·오류분석.pdf</x:v>
      </x:c>
      <x:c r="E11" s="27" t="str">
        <x:v>PDF</x:v>
      </x:c>
      <x:c r="F11" s="27" t="n">
        <x:v>24</x:v>
      </x:c>
      <x:c r="G11" s="27" t="str">
        <x:v>full</x:v>
      </x:c>
      <x:c r="H11" s="27" t="str">
        <x:v>native</x:v>
      </x:c>
      <x:c r="I11" s="27" t="str">
        <x:v>李阿衡</x:v>
      </x:c>
      <x:c r="J11" s="27" t="str">
        <x:v>2023</x:v>
      </x:c>
      <x:c r="K11" s="27" t="str">
        <x:v>챗GPT의 번역 수업 활용 방안 고찰 한중과학기술번역</x:v>
      </x:c>
      <x:c r="L11" s="27" t="str">
        <x:v>AI번역교육·오류분석</x:v>
      </x:c>
      <x:c r="M11" s="27" t="str">
        <x:v>unverified</x:v>
      </x:c>
      <x:c r="N11" s="27" t="str">
        <x:v>M0</x:v>
      </x:c>
      <x:c r="O11" s="27" t="str"/>
      <x:c r="P11" s="27"/>
      <x:c r="Q11" s="27"/>
      <x:c r="R11" s="27"/>
      <x:c r="S11" s="27"/>
      <x:c r="T11" s="27"/>
      <x:c r="U11" s="27"/>
      <x:c r="V11" s="27" t="str">
        <x:f>IF(COUNTA(P11:U11)=0,"",SUM(P11:U11))</x:f>
      </x:c>
      <x:c r="W11" s="27" t="str">
        <x:v>01-002</x:v>
      </x:c>
      <x:c r="X11" s="27" t="str">
        <x:v>T1_candidate</x:v>
      </x:c>
      <x:c r="Y11" s="27" t="str">
        <x:v>owned</x:v>
      </x:c>
      <x:c r="Z11" s="27" t="str"/>
      <x:c r="AA11" s="27" t="str"/>
      <x:c r="AB11" s="27" t="str"/>
      <x:c r="AC11" s="27" t="str">
        <x:v>C:\PRAGMA_THESIS_LOCAL\02_문헌\학술문헌\[01-002]_李阿衡(2023)_챗GPT의 번역 수업 활용 방안 고찰 한중과학기술번역_AI번역교육·오류분석.pdf</x:v>
      </x:c>
      <x:c r="AD11" s="27" t="str">
        <x:v>2026-08-13T21:00:20</x:v>
      </x:c>
      <x:c r="AE11" s="28" t="n">
        <x:v>980443</x:v>
      </x:c>
      <x:c r="AF11" s="27" t="str">
        <x:v>822e3292625cd1928bee441ec50fb9a8d46610108d112db3f8f59a9a77332fc5</x:v>
      </x:c>
      <x:c r="AG11" s="27" t="str"/>
    </x:row>
    <x:row r="12" ht="18" customHeight="1">
      <x:c r="A12" s="27" t="str">
        <x:v>LIT-20260814-011</x:v>
      </x:c>
      <x:c r="B12" s="27" t="str">
        <x:v>01-002</x:v>
      </x:c>
      <x:c r="C12" s="27" t="str">
        <x:v>ko</x:v>
      </x:c>
      <x:c r="D12" s="27" t="str">
        <x:v>[01-002]_강수정(2025)_AI시대 학부번역수업의 기계번역 적용에 관한 연구_기계번역교육·심층인터뷰.pdf</x:v>
      </x:c>
      <x:c r="E12" s="27" t="str">
        <x:v>PDF</x:v>
      </x:c>
      <x:c r="F12" s="27" t="n">
        <x:v>25</x:v>
      </x:c>
      <x:c r="G12" s="27" t="str">
        <x:v>full</x:v>
      </x:c>
      <x:c r="H12" s="27" t="str">
        <x:v>native</x:v>
      </x:c>
      <x:c r="I12" s="27" t="str">
        <x:v>강수정</x:v>
      </x:c>
      <x:c r="J12" s="27" t="str">
        <x:v>2025</x:v>
      </x:c>
      <x:c r="K12" s="27" t="str">
        <x:v>AI시대 학부번역수업의 기계번역 적용에 관한 연구</x:v>
      </x:c>
      <x:c r="L12" s="27" t="str">
        <x:v>기계번역교육·심층인터뷰</x:v>
      </x:c>
      <x:c r="M12" s="27" t="str">
        <x:v>unverified</x:v>
      </x:c>
      <x:c r="N12" s="27" t="str">
        <x:v>M0</x:v>
      </x:c>
      <x:c r="O12" s="27" t="str"/>
      <x:c r="P12" s="27"/>
      <x:c r="Q12" s="27"/>
      <x:c r="R12" s="27"/>
      <x:c r="S12" s="27"/>
      <x:c r="T12" s="27"/>
      <x:c r="U12" s="27"/>
      <x:c r="V12" s="27" t="str">
        <x:f>IF(COUNTA(P12:U12)=0,"",SUM(P12:U12))</x:f>
      </x:c>
      <x:c r="W12" s="27" t="str">
        <x:v>01-002</x:v>
      </x:c>
      <x:c r="X12" s="27" t="str">
        <x:v>T1_candidate</x:v>
      </x:c>
      <x:c r="Y12" s="27" t="str">
        <x:v>owned</x:v>
      </x:c>
      <x:c r="Z12" s="27" t="str"/>
      <x:c r="AA12" s="27" t="str"/>
      <x:c r="AB12" s="27" t="str"/>
      <x:c r="AC12" s="27" t="str">
        <x:v>C:\PRAGMA_THESIS_LOCAL\02_문헌\학술문헌\[01-002]_강수정(2025)_AI시대 학부번역수업의 기계번역 적용에 관한 연구_기계번역교육·심층인터뷰.pdf</x:v>
      </x:c>
      <x:c r="AD12" s="27" t="str">
        <x:v>2026-05-16T14:13:29</x:v>
      </x:c>
      <x:c r="AE12" s="28" t="n">
        <x:v>453799</x:v>
      </x:c>
      <x:c r="AF12" s="27" t="str">
        <x:v>b781eb8e02a8a48d5b9319bf0cdd8de1f6cfdeaa278f556a5dcfcc4caee64489</x:v>
      </x:c>
      <x:c r="AG12" s="27" t="str"/>
    </x:row>
    <x:row r="13" ht="18" customHeight="1">
      <x:c r="A13" s="27" t="str">
        <x:v>LIT-20260814-012</x:v>
      </x:c>
      <x:c r="B13" s="27" t="str">
        <x:v>01-002</x:v>
      </x:c>
      <x:c r="C13" s="27" t="str">
        <x:v>ko</x:v>
      </x:c>
      <x:c r="D13" s="27" t="str">
        <x:v>[01-002]_김진아 외(2007)_멀티미디어 기반 중한 통역교육 콘텐츠 개발 연구_통역교육·콘텐츠개발.pdf</x:v>
      </x:c>
      <x:c r="E13" s="27" t="str">
        <x:v>PDF</x:v>
      </x:c>
      <x:c r="F13" s="27" t="n">
        <x:v>23</x:v>
      </x:c>
      <x:c r="G13" s="27" t="str">
        <x:v>full</x:v>
      </x:c>
      <x:c r="H13" s="27" t="str">
        <x:v>native</x:v>
      </x:c>
      <x:c r="I13" s="27" t="str">
        <x:v>김진아 외</x:v>
      </x:c>
      <x:c r="J13" s="27" t="str">
        <x:v>2007</x:v>
      </x:c>
      <x:c r="K13" s="27" t="str">
        <x:v>멀티미디어 기반 중한 통역교육 콘텐츠 개발 연구</x:v>
      </x:c>
      <x:c r="L13" s="27" t="str">
        <x:v>통역교육·콘텐츠개발</x:v>
      </x:c>
      <x:c r="M13" s="27" t="str">
        <x:v>unverified</x:v>
      </x:c>
      <x:c r="N13" s="27" t="str">
        <x:v>M0</x:v>
      </x:c>
      <x:c r="O13" s="27" t="str"/>
      <x:c r="P13" s="27"/>
      <x:c r="Q13" s="27"/>
      <x:c r="R13" s="27"/>
      <x:c r="S13" s="27"/>
      <x:c r="T13" s="27"/>
      <x:c r="U13" s="27"/>
      <x:c r="V13" s="27" t="str">
        <x:f>IF(COUNTA(P13:U13)=0,"",SUM(P13:U13))</x:f>
      </x:c>
      <x:c r="W13" s="27" t="str">
        <x:v>01-002</x:v>
      </x:c>
      <x:c r="X13" s="27" t="str">
        <x:v>T1_candidate</x:v>
      </x:c>
      <x:c r="Y13" s="27" t="str">
        <x:v>owned</x:v>
      </x:c>
      <x:c r="Z13" s="27" t="str"/>
      <x:c r="AA13" s="27" t="str"/>
      <x:c r="AB13" s="27" t="str"/>
      <x:c r="AC13" s="27" t="str">
        <x:v>C:\PRAGMA_THESIS_LOCAL\02_문헌\학술문헌\[01-002]_김진아 외(2007)_멀티미디어 기반 중한 통역교육 콘텐츠 개발 연구_통역교육·콘텐츠개발.pdf</x:v>
      </x:c>
      <x:c r="AD13" s="27" t="str">
        <x:v>2026-08-13T20:41:12</x:v>
      </x:c>
      <x:c r="AE13" s="28" t="n">
        <x:v>1615876</x:v>
      </x:c>
      <x:c r="AF13" s="27" t="str">
        <x:v>7484a50d49eda5e63b49ee6b916f1b12dbd2a028bf8bab4397d29ea408fbb385</x:v>
      </x:c>
      <x:c r="AG13" s="27" t="str"/>
    </x:row>
    <x:row r="14" ht="18" customHeight="1">
      <x:c r="A14" s="27" t="str">
        <x:v>LIT-20260814-013</x:v>
      </x:c>
      <x:c r="B14" s="27" t="str">
        <x:v>01-002</x:v>
      </x:c>
      <x:c r="C14" s="27" t="str">
        <x:v>ko</x:v>
      </x:c>
      <x:c r="D14" s="27" t="str">
        <x:v>[01-002]_김혜림(2023)_학부생 번역자는 기계번역 포스트에디팅 가이드라인을 어떻게 이해하는가_포스트에디팅·학습자이해.pdf</x:v>
      </x:c>
      <x:c r="E14" s="27" t="str">
        <x:v>PDF</x:v>
      </x:c>
      <x:c r="F14" s="27" t="n">
        <x:v>27</x:v>
      </x:c>
      <x:c r="G14" s="27" t="str">
        <x:v>full</x:v>
      </x:c>
      <x:c r="H14" s="27" t="str">
        <x:v>native</x:v>
      </x:c>
      <x:c r="I14" s="27" t="str">
        <x:v>김혜림</x:v>
      </x:c>
      <x:c r="J14" s="27" t="str">
        <x:v>2023</x:v>
      </x:c>
      <x:c r="K14" s="27" t="str">
        <x:v>학부생 번역자는 기계번역 포스트에디팅 가이드라인을 어떻게 이해하는가</x:v>
      </x:c>
      <x:c r="L14" s="27" t="str">
        <x:v>포스트에디팅·학습자이해</x:v>
      </x:c>
      <x:c r="M14" s="27" t="str">
        <x:v>unverified</x:v>
      </x:c>
      <x:c r="N14" s="27" t="str">
        <x:v>M0</x:v>
      </x:c>
      <x:c r="O14" s="27" t="str"/>
      <x:c r="P14" s="27"/>
      <x:c r="Q14" s="27"/>
      <x:c r="R14" s="27"/>
      <x:c r="S14" s="27"/>
      <x:c r="T14" s="27"/>
      <x:c r="U14" s="27"/>
      <x:c r="V14" s="27" t="str">
        <x:f>IF(COUNTA(P14:U14)=0,"",SUM(P14:U14))</x:f>
      </x:c>
      <x:c r="W14" s="27" t="str">
        <x:v>01-002</x:v>
      </x:c>
      <x:c r="X14" s="27" t="str">
        <x:v>T1_candidate</x:v>
      </x:c>
      <x:c r="Y14" s="27" t="str">
        <x:v>owned</x:v>
      </x:c>
      <x:c r="Z14" s="27" t="str"/>
      <x:c r="AA14" s="27" t="str"/>
      <x:c r="AB14" s="27" t="str"/>
      <x:c r="AC14" s="27" t="str">
        <x:v>C:\PRAGMA_THESIS_LOCAL\02_문헌\학술문헌\[01-002]_김혜림(2023)_학부생 번역자는 기계번역 포스트에디팅 가이드라인을 어떻게 이해하는가_포스트에디팅·학습자이해.pdf</x:v>
      </x:c>
      <x:c r="AD14" s="27" t="str">
        <x:v>2026-08-13T21:02:06</x:v>
      </x:c>
      <x:c r="AE14" s="28" t="n">
        <x:v>1818457</x:v>
      </x:c>
      <x:c r="AF14" s="27" t="str">
        <x:v>c4b3ff0e4db265ff7a6bff9a23f79fc3a2fbea224f155e7ebf74a57adf300ea0</x:v>
      </x:c>
      <x:c r="AG14" s="27" t="str"/>
    </x:row>
    <x:row r="15" ht="18" customHeight="1">
      <x:c r="A15" s="27" t="str">
        <x:v>LIT-20260814-014</x:v>
      </x:c>
      <x:c r="B15" s="27" t="str">
        <x:v>01-002</x:v>
      </x:c>
      <x:c r="C15" s="27" t="str">
        <x:v>ko</x:v>
      </x:c>
      <x:c r="D15" s="27" t="str">
        <x:v>[01-002]_김혜림(2026)_생성형 AI 기반 중국어-한국어 영상 자막 번역 교육 사례연구_AI번역교육·자막번역.pdf</x:v>
      </x:c>
      <x:c r="E15" s="27" t="str">
        <x:v>PDF</x:v>
      </x:c>
      <x:c r="F15" s="27" t="n">
        <x:v>27</x:v>
      </x:c>
      <x:c r="G15" s="27" t="str">
        <x:v>full</x:v>
      </x:c>
      <x:c r="H15" s="27" t="str">
        <x:v>native</x:v>
      </x:c>
      <x:c r="I15" s="27" t="str">
        <x:v>김혜림</x:v>
      </x:c>
      <x:c r="J15" s="27" t="str">
        <x:v>2026</x:v>
      </x:c>
      <x:c r="K15" s="27" t="str">
        <x:v>생성형 AI 기반 중국어-한국어 영상 자막 번역 교육 사례연구</x:v>
      </x:c>
      <x:c r="L15" s="27" t="str">
        <x:v>AI번역교육·자막번역</x:v>
      </x:c>
      <x:c r="M15" s="27" t="str">
        <x:v>unverified</x:v>
      </x:c>
      <x:c r="N15" s="27" t="str">
        <x:v>M0</x:v>
      </x:c>
      <x:c r="O15" s="27" t="str"/>
      <x:c r="P15" s="27"/>
      <x:c r="Q15" s="27"/>
      <x:c r="R15" s="27"/>
      <x:c r="S15" s="27"/>
      <x:c r="T15" s="27"/>
      <x:c r="U15" s="27"/>
      <x:c r="V15" s="27" t="str">
        <x:f>IF(COUNTA(P15:U15)=0,"",SUM(P15:U15))</x:f>
      </x:c>
      <x:c r="W15" s="27" t="str">
        <x:v>01-002</x:v>
      </x:c>
      <x:c r="X15" s="27" t="str">
        <x:v>T1_candidate</x:v>
      </x:c>
      <x:c r="Y15" s="27" t="str">
        <x:v>owned</x:v>
      </x:c>
      <x:c r="Z15" s="27" t="str"/>
      <x:c r="AA15" s="27" t="str"/>
      <x:c r="AB15" s="27" t="str"/>
      <x:c r="AC15" s="27" t="str">
        <x:v>C:\PRAGMA_THESIS_LOCAL\02_문헌\학술문헌\[01-002]_김혜림(2026)_생성형 AI 기반 중국어-한국어 영상 자막 번역 교육 사례연구_AI번역교육·자막번역.pdf</x:v>
      </x:c>
      <x:c r="AD15" s="27" t="str">
        <x:v>2026-08-13T20:50:06</x:v>
      </x:c>
      <x:c r="AE15" s="28" t="n">
        <x:v>496094</x:v>
      </x:c>
      <x:c r="AF15" s="27" t="str">
        <x:v>b46cad5422f0d3de8d35cdcf0f08187537a2c4bbee7d06ca5db48203f578c45d</x:v>
      </x:c>
      <x:c r="AG15" s="27" t="str"/>
    </x:row>
    <x:row r="16" ht="18" customHeight="1">
      <x:c r="A16" s="27" t="str">
        <x:v>LIT-20260814-015</x:v>
      </x:c>
      <x:c r="B16" s="27" t="str">
        <x:v>01-002</x:v>
      </x:c>
      <x:c r="C16" s="27" t="str">
        <x:v>ko</x:v>
      </x:c>
      <x:c r="D16" s="27" t="str">
        <x:v>[01-002]_박성숙 외(2025)_중국어 교육의 생성형 AI 활용 효과와 방안 연구_AI중국어교육·활용방안.pdf</x:v>
      </x:c>
      <x:c r="E16" s="27" t="str">
        <x:v>PDF</x:v>
      </x:c>
      <x:c r="F16" s="27" t="n">
        <x:v>15</x:v>
      </x:c>
      <x:c r="G16" s="27" t="str">
        <x:v>full</x:v>
      </x:c>
      <x:c r="H16" s="27" t="str">
        <x:v>native</x:v>
      </x:c>
      <x:c r="I16" s="27" t="str">
        <x:v>박성숙 외</x:v>
      </x:c>
      <x:c r="J16" s="27" t="str">
        <x:v>2025</x:v>
      </x:c>
      <x:c r="K16" s="27" t="str">
        <x:v>중국어 교육의 생성형 AI 활용 효과와 방안 연구</x:v>
      </x:c>
      <x:c r="L16" s="27" t="str">
        <x:v>AI중국어교육·활용방안</x:v>
      </x:c>
      <x:c r="M16" s="27" t="str">
        <x:v>unverified</x:v>
      </x:c>
      <x:c r="N16" s="27" t="str">
        <x:v>M0</x:v>
      </x:c>
      <x:c r="O16" s="27" t="str"/>
      <x:c r="P16" s="27"/>
      <x:c r="Q16" s="27"/>
      <x:c r="R16" s="27"/>
      <x:c r="S16" s="27"/>
      <x:c r="T16" s="27"/>
      <x:c r="U16" s="27"/>
      <x:c r="V16" s="27" t="str">
        <x:f>IF(COUNTA(P16:U16)=0,"",SUM(P16:U16))</x:f>
      </x:c>
      <x:c r="W16" s="27" t="str">
        <x:v>01-002</x:v>
      </x:c>
      <x:c r="X16" s="27" t="str">
        <x:v>T1_candidate</x:v>
      </x:c>
      <x:c r="Y16" s="27" t="str">
        <x:v>owned</x:v>
      </x:c>
      <x:c r="Z16" s="27" t="str"/>
      <x:c r="AA16" s="27" t="str"/>
      <x:c r="AB16" s="27" t="str"/>
      <x:c r="AC16" s="27" t="str">
        <x:v>C:\PRAGMA_THESIS_LOCAL\02_문헌\학술문헌\[01-002]_박성숙 외(2025)_중국어 교육의 생성형 AI 활용 효과와 방안 연구_AI중국어교육·활용방안.pdf</x:v>
      </x:c>
      <x:c r="AD16" s="27" t="str">
        <x:v>2026-08-13T20:49:56</x:v>
      </x:c>
      <x:c r="AE16" s="28" t="n">
        <x:v>2808127</x:v>
      </x:c>
      <x:c r="AF16" s="27" t="str">
        <x:v>15f382c8370c0c3f0eeb0109b3dfc63082c527bcaa4ff4fb663c18ebe1d484d1</x:v>
      </x:c>
      <x:c r="AG16" s="27" t="str"/>
    </x:row>
    <x:row r="17" ht="18" customHeight="1">
      <x:c r="A17" s="27" t="str">
        <x:v>LIT-20260814-016</x:v>
      </x:c>
      <x:c r="B17" s="27" t="str">
        <x:v>01-002</x:v>
      </x:c>
      <x:c r="C17" s="27" t="str">
        <x:v>ko</x:v>
      </x:c>
      <x:c r="D17" s="27" t="str">
        <x:v>[01-002]_박정원(2025)_Vibe Coding 기반 중국어 교육 웹앱 제작 연구_AI웹앱개발·중국어교육.pdf</x:v>
      </x:c>
      <x:c r="E17" s="27" t="str">
        <x:v>PDF</x:v>
      </x:c>
      <x:c r="F17" s="27" t="n">
        <x:v>32</x:v>
      </x:c>
      <x:c r="G17" s="27" t="str">
        <x:v>full</x:v>
      </x:c>
      <x:c r="H17" s="27" t="str">
        <x:v>native</x:v>
      </x:c>
      <x:c r="I17" s="27" t="str">
        <x:v>박정원</x:v>
      </x:c>
      <x:c r="J17" s="27" t="str">
        <x:v>2025</x:v>
      </x:c>
      <x:c r="K17" s="27" t="str">
        <x:v>Vibe Coding 기반 중국어 교육 웹앱 제작 연구</x:v>
      </x:c>
      <x:c r="L17" s="27" t="str">
        <x:v>AI웹앱개발·중국어교육</x:v>
      </x:c>
      <x:c r="M17" s="27" t="str">
        <x:v>unverified</x:v>
      </x:c>
      <x:c r="N17" s="27" t="str">
        <x:v>M0</x:v>
      </x:c>
      <x:c r="O17" s="27" t="str"/>
      <x:c r="P17" s="27"/>
      <x:c r="Q17" s="27"/>
      <x:c r="R17" s="27"/>
      <x:c r="S17" s="27"/>
      <x:c r="T17" s="27"/>
      <x:c r="U17" s="27"/>
      <x:c r="V17" s="27" t="str">
        <x:f>IF(COUNTA(P17:U17)=0,"",SUM(P17:U17))</x:f>
      </x:c>
      <x:c r="W17" s="27" t="str">
        <x:v>01-002</x:v>
      </x:c>
      <x:c r="X17" s="27" t="str">
        <x:v>T1_candidate</x:v>
      </x:c>
      <x:c r="Y17" s="27" t="str">
        <x:v>owned</x:v>
      </x:c>
      <x:c r="Z17" s="27" t="str"/>
      <x:c r="AA17" s="27" t="str"/>
      <x:c r="AB17" s="27" t="str"/>
      <x:c r="AC17" s="27" t="str">
        <x:v>C:\PRAGMA_THESIS_LOCAL\02_문헌\학술문헌\[01-002]_박정원(2025)_Vibe Coding 기반 중국어 교육 웹앱 제작 연구_AI웹앱개발·중국어교육.pdf</x:v>
      </x:c>
      <x:c r="AD17" s="27" t="str">
        <x:v>2026-08-13T20:40:49</x:v>
      </x:c>
      <x:c r="AE17" s="28" t="n">
        <x:v>2662090</x:v>
      </x:c>
      <x:c r="AF17" s="27" t="str">
        <x:v>2c77d6a308fe50da0a6e310b267bc0cf96ef81b5516e07fa44d0923cefcca651</x:v>
      </x:c>
      <x:c r="AG17" s="27" t="str"/>
    </x:row>
    <x:row r="18" ht="18" customHeight="1">
      <x:c r="A18" s="27" t="str">
        <x:v>LIT-20260814-017</x:v>
      </x:c>
      <x:c r="B18" s="27" t="str">
        <x:v>01-002</x:v>
      </x:c>
      <x:c r="C18" s="27" t="str">
        <x:v>ko</x:v>
      </x:c>
      <x:c r="D18" s="27" t="str">
        <x:v>[01-002]_오한나(2025)_텍스트마이닝을 통한 국내 AI 기반 번역 연구 동향 고찰_AI번역연구·연구동향.pdf</x:v>
      </x:c>
      <x:c r="E18" s="27" t="str">
        <x:v>PDF</x:v>
      </x:c>
      <x:c r="F18" s="27" t="n">
        <x:v>30</x:v>
      </x:c>
      <x:c r="G18" s="27" t="str">
        <x:v>full</x:v>
      </x:c>
      <x:c r="H18" s="27" t="str">
        <x:v>native</x:v>
      </x:c>
      <x:c r="I18" s="27" t="str">
        <x:v>오한나</x:v>
      </x:c>
      <x:c r="J18" s="27" t="str">
        <x:v>2025</x:v>
      </x:c>
      <x:c r="K18" s="27" t="str">
        <x:v>텍스트마이닝을 통한 국내 AI 기반 번역 연구 동향 고찰</x:v>
      </x:c>
      <x:c r="L18" s="27" t="str">
        <x:v>AI번역연구·연구동향</x:v>
      </x:c>
      <x:c r="M18" s="27" t="str">
        <x:v>unverified</x:v>
      </x:c>
      <x:c r="N18" s="27" t="str">
        <x:v>M0</x:v>
      </x:c>
      <x:c r="O18" s="27" t="str"/>
      <x:c r="P18" s="27"/>
      <x:c r="Q18" s="27"/>
      <x:c r="R18" s="27"/>
      <x:c r="S18" s="27"/>
      <x:c r="T18" s="27"/>
      <x:c r="U18" s="27"/>
      <x:c r="V18" s="27" t="str">
        <x:f>IF(COUNTA(P18:U18)=0,"",SUM(P18:U18))</x:f>
      </x:c>
      <x:c r="W18" s="27" t="str">
        <x:v>01-002</x:v>
      </x:c>
      <x:c r="X18" s="27" t="str">
        <x:v>T1_candidate</x:v>
      </x:c>
      <x:c r="Y18" s="27" t="str">
        <x:v>owned</x:v>
      </x:c>
      <x:c r="Z18" s="27" t="str"/>
      <x:c r="AA18" s="27" t="str"/>
      <x:c r="AB18" s="27" t="str"/>
      <x:c r="AC18" s="27" t="str">
        <x:v>C:\PRAGMA_THESIS_LOCAL\02_문헌\학술문헌\[01-002]_오한나(2025)_텍스트마이닝을 통한 국내 AI 기반 번역 연구 동향 고찰_AI번역연구·연구동향.pdf</x:v>
      </x:c>
      <x:c r="AD18" s="27" t="str">
        <x:v>2026-08-13T20:53:31</x:v>
      </x:c>
      <x:c r="AE18" s="28" t="n">
        <x:v>1209393</x:v>
      </x:c>
      <x:c r="AF18" s="27" t="str">
        <x:v>666dec1a17623c4999c7cb25e1bcb2e5ce470a781dd1d9883715b668b3c82f8b</x:v>
      </x:c>
      <x:c r="AG18" s="27" t="str">
        <x:v>YES</x:v>
      </x:c>
    </x:row>
    <x:row r="19" ht="18" customHeight="1">
      <x:c r="A19" s="27" t="str">
        <x:v>LIT-20260814-018</x:v>
      </x:c>
      <x:c r="B19" s="27" t="str">
        <x:v>01-002</x:v>
      </x:c>
      <x:c r="C19" s="27" t="str">
        <x:v>ko</x:v>
      </x:c>
      <x:c r="D19" s="27" t="str">
        <x:v>[01-002]_이지원(2024)_인공지능 기술을 기반으로 하는 중국어 교육 분야의 연구 논문 동향 분석_AI중국어교육·연구동향.pdf</x:v>
      </x:c>
      <x:c r="E19" s="27" t="str">
        <x:v>PDF</x:v>
      </x:c>
      <x:c r="F19" s="27" t="n">
        <x:v>20</x:v>
      </x:c>
      <x:c r="G19" s="27" t="str">
        <x:v>full</x:v>
      </x:c>
      <x:c r="H19" s="27" t="str">
        <x:v>native</x:v>
      </x:c>
      <x:c r="I19" s="27" t="str">
        <x:v>이지원</x:v>
      </x:c>
      <x:c r="J19" s="27" t="str">
        <x:v>2024</x:v>
      </x:c>
      <x:c r="K19" s="27" t="str">
        <x:v>인공지능 기술을 기반으로 하는 중국어 교육 분야의 연구 논문 동향 분석</x:v>
      </x:c>
      <x:c r="L19" s="27" t="str">
        <x:v>AI중국어교육·연구동향</x:v>
      </x:c>
      <x:c r="M19" s="27" t="str">
        <x:v>unverified</x:v>
      </x:c>
      <x:c r="N19" s="27" t="str">
        <x:v>M0</x:v>
      </x:c>
      <x:c r="O19" s="27" t="str"/>
      <x:c r="P19" s="27"/>
      <x:c r="Q19" s="27"/>
      <x:c r="R19" s="27"/>
      <x:c r="S19" s="27"/>
      <x:c r="T19" s="27"/>
      <x:c r="U19" s="27"/>
      <x:c r="V19" s="27" t="str">
        <x:f>IF(COUNTA(P19:U19)=0,"",SUM(P19:U19))</x:f>
      </x:c>
      <x:c r="W19" s="27" t="str">
        <x:v>01-002</x:v>
      </x:c>
      <x:c r="X19" s="27" t="str">
        <x:v>T1_candidate</x:v>
      </x:c>
      <x:c r="Y19" s="27" t="str">
        <x:v>owned</x:v>
      </x:c>
      <x:c r="Z19" s="27" t="str"/>
      <x:c r="AA19" s="27" t="str"/>
      <x:c r="AB19" s="27" t="str"/>
      <x:c r="AC19" s="27" t="str">
        <x:v>C:\PRAGMA_THESIS_LOCAL\02_문헌\학술문헌\[01-002]_이지원(2024)_인공지능 기술을 기반으로 하는 중국어 교육 분야의 연구 논문 동향 분석_AI중국어교육·연구동향.pdf</x:v>
      </x:c>
      <x:c r="AD19" s="27" t="str">
        <x:v>2026-08-13T20:55:19</x:v>
      </x:c>
      <x:c r="AE19" s="28" t="n">
        <x:v>517274</x:v>
      </x:c>
      <x:c r="AF19" s="27" t="str">
        <x:v>ebac1559067c8242bf42e9f0eb4c801fbd84e98e4f5c731fd874a18d4b0bbd97</x:v>
      </x:c>
      <x:c r="AG19" s="27" t="str"/>
    </x:row>
    <x:row r="20" ht="18" customHeight="1">
      <x:c r="A20" s="27" t="str">
        <x:v>LIT-20260814-019</x:v>
      </x:c>
      <x:c r="B20" s="27" t="str">
        <x:v>01-002</x:v>
      </x:c>
      <x:c r="C20" s="27" t="str">
        <x:v>ko</x:v>
      </x:c>
      <x:c r="D20" s="27" t="str">
        <x:v>[01-002]_정계은 외(2025)_학습자-생성형 AI 상호작용 탐색 ChatGPT와의 언어 외적 상호작용_AI상호작용·학습자행동.pdf</x:v>
      </x:c>
      <x:c r="E20" s="27" t="str">
        <x:v>PDF</x:v>
      </x:c>
      <x:c r="F20" s="27" t="n">
        <x:v>29</x:v>
      </x:c>
      <x:c r="G20" s="27" t="str">
        <x:v>full</x:v>
      </x:c>
      <x:c r="H20" s="27" t="str">
        <x:v>native</x:v>
      </x:c>
      <x:c r="I20" s="27" t="str">
        <x:v>정계은 외</x:v>
      </x:c>
      <x:c r="J20" s="27" t="str">
        <x:v>2025</x:v>
      </x:c>
      <x:c r="K20" s="27" t="str">
        <x:v>학습자-생성형 AI 상호작용 탐색 ChatGPT와의 언어 외적 상호작용</x:v>
      </x:c>
      <x:c r="L20" s="27" t="str">
        <x:v>AI상호작용·학습자행동</x:v>
      </x:c>
      <x:c r="M20" s="27" t="str">
        <x:v>unverified</x:v>
      </x:c>
      <x:c r="N20" s="27" t="str">
        <x:v>M0</x:v>
      </x:c>
      <x:c r="O20" s="27" t="str"/>
      <x:c r="P20" s="27"/>
      <x:c r="Q20" s="27"/>
      <x:c r="R20" s="27"/>
      <x:c r="S20" s="27"/>
      <x:c r="T20" s="27"/>
      <x:c r="U20" s="27"/>
      <x:c r="V20" s="27" t="str">
        <x:f>IF(COUNTA(P20:U20)=0,"",SUM(P20:U20))</x:f>
      </x:c>
      <x:c r="W20" s="27" t="str">
        <x:v>01-002</x:v>
      </x:c>
      <x:c r="X20" s="27" t="str">
        <x:v>T1_candidate</x:v>
      </x:c>
      <x:c r="Y20" s="27" t="str">
        <x:v>owned</x:v>
      </x:c>
      <x:c r="Z20" s="27" t="str"/>
      <x:c r="AA20" s="27" t="str"/>
      <x:c r="AB20" s="27" t="str"/>
      <x:c r="AC20" s="27" t="str">
        <x:v>C:\PRAGMA_THESIS_LOCAL\02_문헌\학술문헌\[01-002]_정계은 외(2025)_학습자-생성형 AI 상호작용 탐색 ChatGPT와의 언어 외적 상호작용_AI상호작용·학습자행동.pdf</x:v>
      </x:c>
      <x:c r="AD20" s="27" t="str">
        <x:v>2026-08-13T21:11:59</x:v>
      </x:c>
      <x:c r="AE20" s="28" t="n">
        <x:v>562993</x:v>
      </x:c>
      <x:c r="AF20" s="27" t="str">
        <x:v>691fba21eb2933ce170c688fbc4d89b057a93c5bf21f23975c141fd19dc314b3</x:v>
      </x:c>
      <x:c r="AG20" s="27" t="str"/>
    </x:row>
    <x:row r="21" ht="18" customHeight="1">
      <x:c r="A21" s="27" t="str">
        <x:v>LIT-20260814-020</x:v>
      </x:c>
      <x:c r="B21" s="27" t="str">
        <x:v>01-002</x:v>
      </x:c>
      <x:c r="C21" s="27" t="str">
        <x:v>ko</x:v>
      </x:c>
      <x:c r="D21" s="27" t="str">
        <x:v>[01-002]_정상현(2024)_ChatGPT 활용 중국어 교수자료 제작에 관한 탐색적 연구_AI중국어교육·자료제작.pdf</x:v>
      </x:c>
      <x:c r="E21" s="27" t="str">
        <x:v>PDF</x:v>
      </x:c>
      <x:c r="F21" s="27" t="n">
        <x:v>20</x:v>
      </x:c>
      <x:c r="G21" s="27" t="str">
        <x:v>full</x:v>
      </x:c>
      <x:c r="H21" s="27" t="str">
        <x:v>native</x:v>
      </x:c>
      <x:c r="I21" s="27" t="str">
        <x:v>정상현</x:v>
      </x:c>
      <x:c r="J21" s="27" t="str">
        <x:v>2024</x:v>
      </x:c>
      <x:c r="K21" s="27" t="str">
        <x:v>ChatGPT 활용 중국어 교수자료 제작에 관한 탐색적 연구</x:v>
      </x:c>
      <x:c r="L21" s="27" t="str">
        <x:v>AI중국어교육·자료제작</x:v>
      </x:c>
      <x:c r="M21" s="27" t="str">
        <x:v>unverified</x:v>
      </x:c>
      <x:c r="N21" s="27" t="str">
        <x:v>M0</x:v>
      </x:c>
      <x:c r="O21" s="27" t="str"/>
      <x:c r="P21" s="27"/>
      <x:c r="Q21" s="27"/>
      <x:c r="R21" s="27"/>
      <x:c r="S21" s="27"/>
      <x:c r="T21" s="27"/>
      <x:c r="U21" s="27"/>
      <x:c r="V21" s="27" t="str">
        <x:f>IF(COUNTA(P21:U21)=0,"",SUM(P21:U21))</x:f>
      </x:c>
      <x:c r="W21" s="27" t="str">
        <x:v>01-002</x:v>
      </x:c>
      <x:c r="X21" s="27" t="str">
        <x:v>T1_candidate</x:v>
      </x:c>
      <x:c r="Y21" s="27" t="str">
        <x:v>owned</x:v>
      </x:c>
      <x:c r="Z21" s="27" t="str"/>
      <x:c r="AA21" s="27" t="str"/>
      <x:c r="AB21" s="27" t="str"/>
      <x:c r="AC21" s="27" t="str">
        <x:v>C:\PRAGMA_THESIS_LOCAL\02_문헌\학술문헌\[01-002]_정상현(2024)_ChatGPT 활용 중국어 교수자료 제작에 관한 탐색적 연구_AI중국어교육·자료제작.pdf</x:v>
      </x:c>
      <x:c r="AD21" s="27" t="str">
        <x:v>2026-08-13T20:50:46</x:v>
      </x:c>
      <x:c r="AE21" s="28" t="n">
        <x:v>1468297</x:v>
      </x:c>
      <x:c r="AF21" s="27" t="str">
        <x:v>f2fd6d96a9e6a49b14dfa6118a85a3ac32caa8e95bf5817b7429747e59962b40</x:v>
      </x:c>
      <x:c r="AG21" s="27" t="str"/>
    </x:row>
    <x:row r="22" ht="18" customHeight="1">
      <x:c r="A22" s="27" t="str">
        <x:v>LIT-20260814-021</x:v>
      </x:c>
      <x:c r="B22" s="27" t="str">
        <x:v>01-002</x:v>
      </x:c>
      <x:c r="C22" s="27" t="str">
        <x:v>ko</x:v>
      </x:c>
      <x:c r="D22" s="27" t="str">
        <x:v>[01-002]_정진경 외(2024)_챗봇 빌더를 활용한 한국어교육용 챗봇 제작 및 검증 연구_챗봇개발·학습자인식.pdf</x:v>
      </x:c>
      <x:c r="E22" s="27" t="str">
        <x:v>PDF</x:v>
      </x:c>
      <x:c r="F22" s="27" t="n">
        <x:v>32</x:v>
      </x:c>
      <x:c r="G22" s="27" t="str">
        <x:v>full</x:v>
      </x:c>
      <x:c r="H22" s="27" t="str">
        <x:v>native</x:v>
      </x:c>
      <x:c r="I22" s="27" t="str">
        <x:v>정진경 외</x:v>
      </x:c>
      <x:c r="J22" s="27" t="str">
        <x:v>2024</x:v>
      </x:c>
      <x:c r="K22" s="27" t="str">
        <x:v>챗봇 빌더를 활용한 한국어교육용 챗봇 제작 및 검증 연구</x:v>
      </x:c>
      <x:c r="L22" s="27" t="str">
        <x:v>챗봇개발·학습자인식</x:v>
      </x:c>
      <x:c r="M22" s="27" t="str">
        <x:v>unverified</x:v>
      </x:c>
      <x:c r="N22" s="27" t="str">
        <x:v>M0</x:v>
      </x:c>
      <x:c r="O22" s="27" t="str"/>
      <x:c r="P22" s="27"/>
      <x:c r="Q22" s="27"/>
      <x:c r="R22" s="27"/>
      <x:c r="S22" s="27"/>
      <x:c r="T22" s="27"/>
      <x:c r="U22" s="27"/>
      <x:c r="V22" s="27" t="str">
        <x:f>IF(COUNTA(P22:U22)=0,"",SUM(P22:U22))</x:f>
      </x:c>
      <x:c r="W22" s="27" t="str">
        <x:v>01-002</x:v>
      </x:c>
      <x:c r="X22" s="27" t="str">
        <x:v>T1_candidate</x:v>
      </x:c>
      <x:c r="Y22" s="27" t="str">
        <x:v>owned</x:v>
      </x:c>
      <x:c r="Z22" s="27" t="str"/>
      <x:c r="AA22" s="27" t="str"/>
      <x:c r="AB22" s="27" t="str"/>
      <x:c r="AC22" s="27" t="str">
        <x:v>C:\PRAGMA_THESIS_LOCAL\02_문헌\학술문헌\[01-002]_정진경 외(2024)_챗봇 빌더를 활용한 한국어교육용 챗봇 제작 및 검증 연구_챗봇개발·학습자인식.pdf</x:v>
      </x:c>
      <x:c r="AD22" s="27" t="str">
        <x:v>2026-08-13T21:23:28</x:v>
      </x:c>
      <x:c r="AE22" s="28" t="n">
        <x:v>3893863</x:v>
      </x:c>
      <x:c r="AF22" s="27" t="str">
        <x:v>4b8ba3cb96cf88b505bffff673f111b0f35bdf85e4e137b13aad8bfd06e136a7</x:v>
      </x:c>
      <x:c r="AG22" s="27" t="str"/>
    </x:row>
    <x:row r="23" ht="18" customHeight="1">
      <x:c r="A23" s="27" t="str">
        <x:v>LIT-20260814-022</x:v>
      </x:c>
      <x:c r="B23" s="27" t="str">
        <x:v>01-002</x:v>
      </x:c>
      <x:c r="C23" s="27" t="str">
        <x:v>ko</x:v>
      </x:c>
      <x:c r="D23" s="27" t="str">
        <x:v>[01-002]_진실희(2024)_생성형 AI 활용 통역 교육 사례연구 챗GPT 비즈니스 통역 수업 설계_AI통역교육·수업설계.pdf</x:v>
      </x:c>
      <x:c r="E23" s="27" t="str">
        <x:v>PDF</x:v>
      </x:c>
      <x:c r="F23" s="27" t="n">
        <x:v>29</x:v>
      </x:c>
      <x:c r="G23" s="27" t="str">
        <x:v>full</x:v>
      </x:c>
      <x:c r="H23" s="27" t="str">
        <x:v>native</x:v>
      </x:c>
      <x:c r="I23" s="27" t="str">
        <x:v>진실희</x:v>
      </x:c>
      <x:c r="J23" s="27" t="str">
        <x:v>2024</x:v>
      </x:c>
      <x:c r="K23" s="27" t="str">
        <x:v>생성형 AI 활용 통역 교육 사례연구 챗GPT 비즈니스 통역 수업 설계</x:v>
      </x:c>
      <x:c r="L23" s="27" t="str">
        <x:v>AI통역교육·수업설계</x:v>
      </x:c>
      <x:c r="M23" s="27" t="str">
        <x:v>unverified</x:v>
      </x:c>
      <x:c r="N23" s="27" t="str">
        <x:v>M0</x:v>
      </x:c>
      <x:c r="O23" s="27" t="str"/>
      <x:c r="P23" s="27"/>
      <x:c r="Q23" s="27"/>
      <x:c r="R23" s="27"/>
      <x:c r="S23" s="27"/>
      <x:c r="T23" s="27"/>
      <x:c r="U23" s="27"/>
      <x:c r="V23" s="27" t="str">
        <x:f>IF(COUNTA(P23:U23)=0,"",SUM(P23:U23))</x:f>
      </x:c>
      <x:c r="W23" s="27" t="str">
        <x:v>01-002</x:v>
      </x:c>
      <x:c r="X23" s="27" t="str">
        <x:v>T1_candidate</x:v>
      </x:c>
      <x:c r="Y23" s="27" t="str">
        <x:v>owned</x:v>
      </x:c>
      <x:c r="Z23" s="27" t="str"/>
      <x:c r="AA23" s="27" t="str"/>
      <x:c r="AB23" s="27" t="str"/>
      <x:c r="AC23" s="27" t="str">
        <x:v>C:\PRAGMA_THESIS_LOCAL\02_문헌\학술문헌\[01-002]_진실희(2024)_생성형 AI 활용 통역 교육 사례연구 챗GPT 비즈니스 통역 수업 설계_AI통역교육·수업설계.pdf</x:v>
      </x:c>
      <x:c r="AD23" s="27" t="str">
        <x:v>2026-05-02T17:38:31</x:v>
      </x:c>
      <x:c r="AE23" s="28" t="n">
        <x:v>975211</x:v>
      </x:c>
      <x:c r="AF23" s="27" t="str">
        <x:v>55b79340b0492f02245613fc066b1d143652164096935f5fc76cd63367c53fdf</x:v>
      </x:c>
      <x:c r="AG23" s="27" t="str"/>
    </x:row>
    <x:row r="24" ht="18" customHeight="1">
      <x:c r="A24" s="27" t="str">
        <x:v>LIT-20260814-023</x:v>
      </x:c>
      <x:c r="B24" s="27" t="str">
        <x:v>02-001</x:v>
      </x:c>
      <x:c r="C24" s="27" t="str">
        <x:v>en</x:v>
      </x:c>
      <x:c r="D24" s="27" t="str">
        <x:v>[02-001]_Alos(2015)_Explicating the implicit an empirical investigation into pragmatic competence in translator training_번역교육·화용능력.pdf</x:v>
      </x:c>
      <x:c r="E24" s="27" t="str">
        <x:v>PDF</x:v>
      </x:c>
      <x:c r="F24" s="27" t="n">
        <x:v>20</x:v>
      </x:c>
      <x:c r="G24" s="27" t="str">
        <x:v>full</x:v>
      </x:c>
      <x:c r="H24" s="27" t="str">
        <x:v>native</x:v>
      </x:c>
      <x:c r="I24" s="27" t="str">
        <x:v>Alos</x:v>
      </x:c>
      <x:c r="J24" s="27" t="str">
        <x:v>2015</x:v>
      </x:c>
      <x:c r="K24" s="27" t="str">
        <x:v>Explicating the implicit an empirical investigation into pragmatic competence in translator training</x:v>
      </x:c>
      <x:c r="L24" s="27" t="str">
        <x:v>번역교육·화용능력</x:v>
      </x:c>
      <x:c r="M24" s="27" t="str">
        <x:v>unverified</x:v>
      </x:c>
      <x:c r="N24" s="27" t="str">
        <x:v>M0</x:v>
      </x:c>
      <x:c r="O24" s="27" t="str"/>
      <x:c r="P24" s="27"/>
      <x:c r="Q24" s="27"/>
      <x:c r="R24" s="27"/>
      <x:c r="S24" s="27"/>
      <x:c r="T24" s="27"/>
      <x:c r="U24" s="27"/>
      <x:c r="V24" s="27" t="str">
        <x:f>IF(COUNTA(P24:U24)=0,"",SUM(P24:U24))</x:f>
      </x:c>
      <x:c r="W24" s="27" t="str">
        <x:v>02-001</x:v>
      </x:c>
      <x:c r="X24" s="27" t="str">
        <x:v>T1_candidate</x:v>
      </x:c>
      <x:c r="Y24" s="27" t="str">
        <x:v>owned</x:v>
      </x:c>
      <x:c r="Z24" s="27" t="str"/>
      <x:c r="AA24" s="27" t="str"/>
      <x:c r="AB24" s="27" t="str"/>
      <x:c r="AC24" s="27" t="str">
        <x:v>C:\PRAGMA_THESIS_LOCAL\02_문헌\학술문헌\[02-001]_Alos(2015)_Explicating the implicit an empirical investigation into pragmatic competence in translator training_번역교육·화용능력.pdf</x:v>
      </x:c>
      <x:c r="AD24" s="27" t="str">
        <x:v>2026-05-02T13:15:55</x:v>
      </x:c>
      <x:c r="AE24" s="28" t="n">
        <x:v>1431439</x:v>
      </x:c>
      <x:c r="AF24" s="27" t="str">
        <x:v>962cc87134d2149742e6c4caea36b481a9618924bb86f369d0a36d234c1eed18</x:v>
      </x:c>
      <x:c r="AG24" s="27" t="str"/>
    </x:row>
    <x:row r="25" ht="18" customHeight="1">
      <x:c r="A25" s="27" t="str">
        <x:v>LIT-20260814-024</x:v>
      </x:c>
      <x:c r="B25" s="27" t="str">
        <x:v>02-001</x:v>
      </x:c>
      <x:c r="C25" s="27" t="str">
        <x:v>en</x:v>
      </x:c>
      <x:c r="D25" s="27" t="str">
        <x:v>[02-001]_Baker_In Other Words (발췌)_화용적등가·번역교재.txt</x:v>
      </x:c>
      <x:c r="E25" s="27" t="str">
        <x:v>TXT</x:v>
      </x:c>
      <x:c r="F25" s="27"/>
      <x:c r="G25" s="27" t="str">
        <x:v>excerpt</x:v>
      </x:c>
      <x:c r="H25" s="27" t="str">
        <x:v>native</x:v>
      </x:c>
      <x:c r="I25" s="27" t="str">
        <x:v>Baker</x:v>
      </x:c>
      <x:c r="J25" s="27" t="str"/>
      <x:c r="K25" s="27" t="str">
        <x:v>In Other Words (발췌)</x:v>
      </x:c>
      <x:c r="L25" s="27" t="str">
        <x:v>화용적등가·번역교재</x:v>
      </x:c>
      <x:c r="M25" s="27" t="str">
        <x:v>unverified</x:v>
      </x:c>
      <x:c r="N25" s="27" t="str">
        <x:v>M0</x:v>
      </x:c>
      <x:c r="O25" s="27" t="str"/>
      <x:c r="P25" s="27"/>
      <x:c r="Q25" s="27"/>
      <x:c r="R25" s="27"/>
      <x:c r="S25" s="27"/>
      <x:c r="T25" s="27"/>
      <x:c r="U25" s="27"/>
      <x:c r="V25" s="27" t="str">
        <x:f>IF(COUNTA(P25:U25)=0,"",SUM(P25:U25))</x:f>
      </x:c>
      <x:c r="W25" s="27" t="str">
        <x:v>02-001</x:v>
      </x:c>
      <x:c r="X25" s="27" t="str">
        <x:v>T1_candidate</x:v>
      </x:c>
      <x:c r="Y25" s="27" t="str">
        <x:v>owned</x:v>
      </x:c>
      <x:c r="Z25" s="27" t="str">
        <x:v>year_unverified</x:v>
      </x:c>
      <x:c r="AA25" s="27" t="str"/>
      <x:c r="AB25" s="27" t="str"/>
      <x:c r="AC25" s="27" t="str">
        <x:v>C:\PRAGMA_THESIS_LOCAL\02_문헌\학술문헌\[02-001]_Baker_In Other Words (발췌)_화용적등가·번역교재.txt</x:v>
      </x:c>
      <x:c r="AD25" s="27" t="str">
        <x:v>2026-06-30T18:09:00</x:v>
      </x:c>
      <x:c r="AE25" s="28" t="n">
        <x:v>46207</x:v>
      </x:c>
      <x:c r="AF25" s="27" t="str">
        <x:v>023d8300c590ad42d6f294063b1625827912faeca8d061fecfd1793f5b65b061</x:v>
      </x:c>
      <x:c r="AG25" s="27" t="str"/>
    </x:row>
    <x:row r="26" ht="18" customHeight="1">
      <x:c r="A26" s="27" t="str">
        <x:v>LIT-20260814-025</x:v>
      </x:c>
      <x:c r="B26" s="27" t="str">
        <x:v>02-001</x:v>
      </x:c>
      <x:c r="C26" s="27" t="str">
        <x:v>en</x:v>
      </x:c>
      <x:c r="D26" s="27" t="str">
        <x:v>[02-001]_Dayter et al.(2023)_Pragmatics in Translation (Cambridge Elements)_번역화용·총론.pdf</x:v>
      </x:c>
      <x:c r="E26" s="27" t="str">
        <x:v>PDF</x:v>
      </x:c>
      <x:c r="F26" s="27" t="n">
        <x:v>88</x:v>
      </x:c>
      <x:c r="G26" s="27" t="str">
        <x:v>full</x:v>
      </x:c>
      <x:c r="H26" s="27" t="str">
        <x:v>native</x:v>
      </x:c>
      <x:c r="I26" s="27" t="str">
        <x:v>Dayter et al.</x:v>
      </x:c>
      <x:c r="J26" s="27" t="str">
        <x:v>2023</x:v>
      </x:c>
      <x:c r="K26" s="27" t="str">
        <x:v>Pragmatics in Translation (Cambridge Elements)</x:v>
      </x:c>
      <x:c r="L26" s="27" t="str">
        <x:v>번역화용·총론</x:v>
      </x:c>
      <x:c r="M26" s="27" t="str">
        <x:v>unverified</x:v>
      </x:c>
      <x:c r="N26" s="27" t="str">
        <x:v>M0</x:v>
      </x:c>
      <x:c r="O26" s="27" t="str"/>
      <x:c r="P26" s="27"/>
      <x:c r="Q26" s="27"/>
      <x:c r="R26" s="27"/>
      <x:c r="S26" s="27"/>
      <x:c r="T26" s="27"/>
      <x:c r="U26" s="27"/>
      <x:c r="V26" s="27" t="str">
        <x:f>IF(COUNTA(P26:U26)=0,"",SUM(P26:U26))</x:f>
      </x:c>
      <x:c r="W26" s="27" t="str">
        <x:v>02-001</x:v>
      </x:c>
      <x:c r="X26" s="27" t="str">
        <x:v>T1_candidate</x:v>
      </x:c>
      <x:c r="Y26" s="27" t="str">
        <x:v>owned</x:v>
      </x:c>
      <x:c r="Z26" s="27" t="str"/>
      <x:c r="AA26" s="27" t="str"/>
      <x:c r="AB26" s="27" t="str"/>
      <x:c r="AC26" s="27" t="str">
        <x:v>C:\PRAGMA_THESIS_LOCAL\02_문헌\학술문헌\[02-001]_Dayter et al.(2023)_Pragmatics in Translation (Cambridge Elements)_번역화용·총론.pdf</x:v>
      </x:c>
      <x:c r="AD26" s="27" t="str">
        <x:v>2026-08-11T14:45:06</x:v>
      </x:c>
      <x:c r="AE26" s="28" t="n">
        <x:v>1902282</x:v>
      </x:c>
      <x:c r="AF26" s="27" t="str">
        <x:v>e0821ae202f951bbd6ab860d5b033e3baa179567f0a268190b15f4d750b0aad5</x:v>
      </x:c>
      <x:c r="AG26" s="27" t="str"/>
    </x:row>
    <x:row r="27" ht="18" customHeight="1">
      <x:c r="A27" s="27" t="str">
        <x:v>LIT-20260814-026</x:v>
      </x:c>
      <x:c r="B27" s="27" t="str">
        <x:v>02-001</x:v>
      </x:c>
      <x:c r="C27" s="27" t="str">
        <x:v>en</x:v>
      </x:c>
      <x:c r="D27" s="27" t="str">
        <x:v>[02-001]_Haugh &amp; Chang(2019)_Indexical and Sequential Properties of Criticisms in Initial Interactions_형태등가≠화용등가·비판화행.pdf</x:v>
      </x:c>
      <x:c r="E27" s="27" t="str">
        <x:v>PDF</x:v>
      </x:c>
      <x:c r="F27" s="27" t="n">
        <x:v>26</x:v>
      </x:c>
      <x:c r="G27" s="27" t="str">
        <x:v>full</x:v>
      </x:c>
      <x:c r="H27" s="27" t="str">
        <x:v>native</x:v>
      </x:c>
      <x:c r="I27" s="27" t="str">
        <x:v>Haugh &amp; Chang</x:v>
      </x:c>
      <x:c r="J27" s="27" t="str">
        <x:v>2019</x:v>
      </x:c>
      <x:c r="K27" s="27" t="str">
        <x:v>Indexical and Sequential Properties of Criticisms in Initial Interactions</x:v>
      </x:c>
      <x:c r="L27" s="27" t="str">
        <x:v>형태등가≠화용등가·비판화행</x:v>
      </x:c>
      <x:c r="M27" s="27" t="str">
        <x:v>unverified</x:v>
      </x:c>
      <x:c r="N27" s="27" t="str">
        <x:v>M0</x:v>
      </x:c>
      <x:c r="O27" s="27" t="str"/>
      <x:c r="P27" s="27"/>
      <x:c r="Q27" s="27"/>
      <x:c r="R27" s="27"/>
      <x:c r="S27" s="27"/>
      <x:c r="T27" s="27"/>
      <x:c r="U27" s="27"/>
      <x:c r="V27" s="27" t="str">
        <x:f>IF(COUNTA(P27:U27)=0,"",SUM(P27:U27))</x:f>
      </x:c>
      <x:c r="W27" s="27" t="str">
        <x:v>02-001</x:v>
      </x:c>
      <x:c r="X27" s="27" t="str">
        <x:v>T1_candidate</x:v>
      </x:c>
      <x:c r="Y27" s="27" t="str">
        <x:v>owned</x:v>
      </x:c>
      <x:c r="Z27" s="27" t="str"/>
      <x:c r="AA27" s="27" t="str"/>
      <x:c r="AB27" s="27" t="str"/>
      <x:c r="AC27" s="27" t="str">
        <x:v>C:\PRAGMA_THESIS_LOCAL\02_문헌\학술문헌\[02-001]_Haugh &amp; Chang(2019)_Indexical and Sequential Properties of Criticisms in Initial Interactions_형태등가≠화용등가·비판화행.pdf</x:v>
      </x:c>
      <x:c r="AD27" s="27" t="str">
        <x:v>2026-08-13T16:19:33</x:v>
      </x:c>
      <x:c r="AE27" s="28" t="n">
        <x:v>876288</x:v>
      </x:c>
      <x:c r="AF27" s="27" t="str">
        <x:v>8aef1e7583af631d61a9617c766be79400cc0090665a241ccfa91cd520aac9bb</x:v>
      </x:c>
      <x:c r="AG27" s="27" t="str"/>
    </x:row>
    <x:row r="28" ht="18" customHeight="1">
      <x:c r="A28" s="27" t="str">
        <x:v>LIT-20260814-027</x:v>
      </x:c>
      <x:c r="B28" s="27" t="str">
        <x:v>02-001</x:v>
      </x:c>
      <x:c r="C28" s="27" t="str">
        <x:v>en</x:v>
      </x:c>
      <x:c r="D28" s="27" t="str">
        <x:v>[02-001]_House(2001)_Translation Quality Assessment Linguistic Description versus Social Evaluation_번역품질평가·기능화용모형.pdf</x:v>
      </x:c>
      <x:c r="E28" s="27" t="str">
        <x:v>PDF</x:v>
      </x:c>
      <x:c r="F28" s="27" t="n">
        <x:v>16</x:v>
      </x:c>
      <x:c r="G28" s="27" t="str">
        <x:v>full</x:v>
      </x:c>
      <x:c r="H28" s="27" t="str">
        <x:v>native</x:v>
      </x:c>
      <x:c r="I28" s="27" t="str">
        <x:v>House</x:v>
      </x:c>
      <x:c r="J28" s="27" t="str">
        <x:v>2001</x:v>
      </x:c>
      <x:c r="K28" s="27" t="str">
        <x:v>Translation Quality Assessment Linguistic Description versus Social Evaluation</x:v>
      </x:c>
      <x:c r="L28" s="27" t="str">
        <x:v>번역품질평가·기능화용모형</x:v>
      </x:c>
      <x:c r="M28" s="27" t="str">
        <x:v>unverified</x:v>
      </x:c>
      <x:c r="N28" s="27" t="str">
        <x:v>M0</x:v>
      </x:c>
      <x:c r="O28" s="27" t="str"/>
      <x:c r="P28" s="27"/>
      <x:c r="Q28" s="27"/>
      <x:c r="R28" s="27"/>
      <x:c r="S28" s="27"/>
      <x:c r="T28" s="27"/>
      <x:c r="U28" s="27"/>
      <x:c r="V28" s="27" t="str">
        <x:f>IF(COUNTA(P28:U28)=0,"",SUM(P28:U28))</x:f>
      </x:c>
      <x:c r="W28" s="27" t="str">
        <x:v>02-001</x:v>
      </x:c>
      <x:c r="X28" s="27" t="str">
        <x:v>T1_candidate</x:v>
      </x:c>
      <x:c r="Y28" s="27" t="str">
        <x:v>owned</x:v>
      </x:c>
      <x:c r="Z28" s="27" t="str"/>
      <x:c r="AA28" s="27" t="str"/>
      <x:c r="AB28" s="27" t="str"/>
      <x:c r="AC28" s="27" t="str">
        <x:v>C:\PRAGMA_THESIS_LOCAL\02_문헌\학술문헌\[02-001]_House(2001)_Translation Quality Assessment Linguistic Description versus Social Evaluation_번역품질평가·기능화용모형.pdf</x:v>
      </x:c>
      <x:c r="AD28" s="27" t="str">
        <x:v>2026-08-13T14:23:52</x:v>
      </x:c>
      <x:c r="AE28" s="28" t="n">
        <x:v>234461</x:v>
      </x:c>
      <x:c r="AF28" s="27" t="str">
        <x:v>9ef33d16ab1912f9615d53c3a5d6aceb39cd69cae1f34649954214efe3355e56</x:v>
      </x:c>
      <x:c r="AG28" s="27" t="str"/>
    </x:row>
    <x:row r="29" ht="18" customHeight="1">
      <x:c r="A29" s="27" t="str">
        <x:v>LIT-20260814-028</x:v>
      </x:c>
      <x:c r="B29" s="27" t="str">
        <x:v>02-001</x:v>
      </x:c>
      <x:c r="C29" s="27" t="str">
        <x:v>en</x:v>
      </x:c>
      <x:c r="D29" s="27" t="str">
        <x:v>[02-001]_Hurtado Albir(2015)_The Acquisition of Translation Competence Competences Tasks and Assessment_번역능력·과제평가.pdf</x:v>
      </x:c>
      <x:c r="E29" s="27" t="str">
        <x:v>PDF</x:v>
      </x:c>
      <x:c r="F29" s="27" t="n">
        <x:v>26</x:v>
      </x:c>
      <x:c r="G29" s="27" t="str">
        <x:v>full</x:v>
      </x:c>
      <x:c r="H29" s="27" t="str">
        <x:v>native</x:v>
      </x:c>
      <x:c r="I29" s="27" t="str">
        <x:v>Hurtado Albir</x:v>
      </x:c>
      <x:c r="J29" s="27" t="str">
        <x:v>2015</x:v>
      </x:c>
      <x:c r="K29" s="27" t="str">
        <x:v>The Acquisition of Translation Competence Competences Tasks and Assessment</x:v>
      </x:c>
      <x:c r="L29" s="27" t="str">
        <x:v>번역능력·과제평가</x:v>
      </x:c>
      <x:c r="M29" s="27" t="str">
        <x:v>unverified</x:v>
      </x:c>
      <x:c r="N29" s="27" t="str">
        <x:v>M0</x:v>
      </x:c>
      <x:c r="O29" s="27" t="str"/>
      <x:c r="P29" s="27"/>
      <x:c r="Q29" s="27"/>
      <x:c r="R29" s="27"/>
      <x:c r="S29" s="27"/>
      <x:c r="T29" s="27"/>
      <x:c r="U29" s="27"/>
      <x:c r="V29" s="27" t="str">
        <x:f>IF(COUNTA(P29:U29)=0,"",SUM(P29:U29))</x:f>
      </x:c>
      <x:c r="W29" s="27" t="str">
        <x:v>02-001</x:v>
      </x:c>
      <x:c r="X29" s="27" t="str">
        <x:v>T1_candidate</x:v>
      </x:c>
      <x:c r="Y29" s="27" t="str">
        <x:v>owned</x:v>
      </x:c>
      <x:c r="Z29" s="27" t="str"/>
      <x:c r="AA29" s="27" t="str"/>
      <x:c r="AB29" s="27" t="str"/>
      <x:c r="AC29" s="27" t="str">
        <x:v>C:\PRAGMA_THESIS_LOCAL\02_문헌\학술문헌\[02-001]_Hurtado Albir(2015)_The Acquisition of Translation Competence Competences Tasks and Assessment_번역능력·과제평가.pdf</x:v>
      </x:c>
      <x:c r="AD29" s="27" t="str">
        <x:v>2026-07-26T12:23:07</x:v>
      </x:c>
      <x:c r="AE29" s="28" t="n">
        <x:v>438131</x:v>
      </x:c>
      <x:c r="AF29" s="27" t="str">
        <x:v>779de80c82c477aaaa60831995c3a150e32b0cd164b40142bef969adc30ce131</x:v>
      </x:c>
      <x:c r="AG29" s="27" t="str"/>
    </x:row>
    <x:row r="30" ht="18" customHeight="1">
      <x:c r="A30" s="27" t="str">
        <x:v>LIT-20260814-029</x:v>
      </x:c>
      <x:c r="B30" s="27" t="str">
        <x:v>02-001</x:v>
      </x:c>
      <x:c r="C30" s="27" t="str">
        <x:v>en</x:v>
      </x:c>
      <x:c r="D30" s="27" t="str">
        <x:v>[02-001]_Macias Borrego(2025)_Integrating Speech Acts Theory into Translator Education_화행이론·번역사교육.pdf</x:v>
      </x:c>
      <x:c r="E30" s="27" t="str">
        <x:v>PDF</x:v>
      </x:c>
      <x:c r="F30" s="27" t="n">
        <x:v>24</x:v>
      </x:c>
      <x:c r="G30" s="27" t="str">
        <x:v>full</x:v>
      </x:c>
      <x:c r="H30" s="27" t="str">
        <x:v>native</x:v>
      </x:c>
      <x:c r="I30" s="27" t="str">
        <x:v>Macias Borrego</x:v>
      </x:c>
      <x:c r="J30" s="27" t="str">
        <x:v>2025</x:v>
      </x:c>
      <x:c r="K30" s="27" t="str">
        <x:v>Integrating Speech Acts Theory into Translator Education</x:v>
      </x:c>
      <x:c r="L30" s="27" t="str">
        <x:v>화행이론·번역사교육</x:v>
      </x:c>
      <x:c r="M30" s="27" t="str">
        <x:v>unverified</x:v>
      </x:c>
      <x:c r="N30" s="27" t="str">
        <x:v>M0</x:v>
      </x:c>
      <x:c r="O30" s="27" t="str"/>
      <x:c r="P30" s="27"/>
      <x:c r="Q30" s="27"/>
      <x:c r="R30" s="27"/>
      <x:c r="S30" s="27"/>
      <x:c r="T30" s="27"/>
      <x:c r="U30" s="27"/>
      <x:c r="V30" s="27" t="str">
        <x:f>IF(COUNTA(P30:U30)=0,"",SUM(P30:U30))</x:f>
      </x:c>
      <x:c r="W30" s="27" t="str">
        <x:v>02-001</x:v>
      </x:c>
      <x:c r="X30" s="27" t="str">
        <x:v>T1_candidate</x:v>
      </x:c>
      <x:c r="Y30" s="27" t="str">
        <x:v>owned</x:v>
      </x:c>
      <x:c r="Z30" s="27" t="str"/>
      <x:c r="AA30" s="27" t="str"/>
      <x:c r="AB30" s="27" t="str"/>
      <x:c r="AC30" s="27" t="str">
        <x:v>C:\PRAGMA_THESIS_LOCAL\02_문헌\학술문헌\[02-001]_Macias Borrego(2025)_Integrating Speech Acts Theory into Translator Education_화행이론·번역사교육.pdf</x:v>
      </x:c>
      <x:c r="AD30" s="27" t="str">
        <x:v>2026-05-02T13:18:46</x:v>
      </x:c>
      <x:c r="AE30" s="28" t="n">
        <x:v>710372</x:v>
      </x:c>
      <x:c r="AF30" s="27" t="str">
        <x:v>c29b5a5e0d7c15efba47bec8f5d2013c697ee2a9d532f920027120d8c0c0874d</x:v>
      </x:c>
      <x:c r="AG30" s="27" t="str"/>
    </x:row>
    <x:row r="31" ht="18" customHeight="1">
      <x:c r="A31" s="27" t="str">
        <x:v>LIT-20260814-030</x:v>
      </x:c>
      <x:c r="B31" s="27" t="str">
        <x:v>02-001</x:v>
      </x:c>
      <x:c r="C31" s="27" t="str">
        <x:v>en</x:v>
      </x:c>
      <x:c r="D31" s="27" t="str">
        <x:v>[02-001]_Taguchi &amp; Li(2020)_Contrastive Pragmatics and L2 Pragmatics Approaches to Assessing L2 Speech Act Production_적절성기준·대조화용.pdf</x:v>
      </x:c>
      <x:c r="E31" s="27" t="str">
        <x:v>PDF</x:v>
      </x:c>
      <x:c r="F31" s="27" t="n">
        <x:v>23</x:v>
      </x:c>
      <x:c r="G31" s="27" t="str">
        <x:v>full</x:v>
      </x:c>
      <x:c r="H31" s="27" t="str">
        <x:v>native</x:v>
      </x:c>
      <x:c r="I31" s="27" t="str">
        <x:v>Taguchi &amp; Li</x:v>
      </x:c>
      <x:c r="J31" s="27" t="str">
        <x:v>2020</x:v>
      </x:c>
      <x:c r="K31" s="27" t="str">
        <x:v>Contrastive Pragmatics and L2 Pragmatics Approaches to Assessing L2 Speech Act Production</x:v>
      </x:c>
      <x:c r="L31" s="27" t="str">
        <x:v>적절성기준·대조화용</x:v>
      </x:c>
      <x:c r="M31" s="27" t="str">
        <x:v>unverified</x:v>
      </x:c>
      <x:c r="N31" s="27" t="str">
        <x:v>M0</x:v>
      </x:c>
      <x:c r="O31" s="27" t="str"/>
      <x:c r="P31" s="27"/>
      <x:c r="Q31" s="27"/>
      <x:c r="R31" s="27"/>
      <x:c r="S31" s="27"/>
      <x:c r="T31" s="27"/>
      <x:c r="U31" s="27"/>
      <x:c r="V31" s="27" t="str">
        <x:f>IF(COUNTA(P31:U31)=0,"",SUM(P31:U31))</x:f>
      </x:c>
      <x:c r="W31" s="27" t="str">
        <x:v>02-001</x:v>
      </x:c>
      <x:c r="X31" s="27" t="str">
        <x:v>T1_candidate</x:v>
      </x:c>
      <x:c r="Y31" s="27" t="str">
        <x:v>owned</x:v>
      </x:c>
      <x:c r="Z31" s="27" t="str"/>
      <x:c r="AA31" s="27" t="str"/>
      <x:c r="AB31" s="27" t="str"/>
      <x:c r="AC31" s="27" t="str">
        <x:v>C:\PRAGMA_THESIS_LOCAL\02_문헌\학술문헌\[02-001]_Taguchi &amp; Li(2020)_Contrastive Pragmatics and L2 Pragmatics Approaches to Assessing L2 Speech Act Production_적절성기준·대조화용.pdf</x:v>
      </x:c>
      <x:c r="AD31" s="27" t="str">
        <x:v>2026-07-26T13:39:09</x:v>
      </x:c>
      <x:c r="AE31" s="28" t="n">
        <x:v>1653248</x:v>
      </x:c>
      <x:c r="AF31" s="27" t="str">
        <x:v>ec7782241664fce4160c8cbc6e991665689d321e3caf73ece34baaf1e46e8b12</x:v>
      </x:c>
      <x:c r="AG31" s="27" t="str"/>
    </x:row>
    <x:row r="32" ht="18" customHeight="1">
      <x:c r="A32" s="27" t="str">
        <x:v>LIT-20260814-031</x:v>
      </x:c>
      <x:c r="B32" s="27" t="str">
        <x:v>02-001</x:v>
      </x:c>
      <x:c r="C32" s="27" t="str">
        <x:v>en</x:v>
      </x:c>
      <x:c r="D32" s="27" t="str">
        <x:v>[02-001]_Xiang et al.(2020)_Interpreting impoliteness and over-politeness_대역이탈양방향·통역.pdf</x:v>
      </x:c>
      <x:c r="E32" s="27" t="str">
        <x:v>PDF</x:v>
      </x:c>
      <x:c r="F32" s="27" t="n">
        <x:v>14</x:v>
      </x:c>
      <x:c r="G32" s="27" t="str">
        <x:v>full</x:v>
      </x:c>
      <x:c r="H32" s="27" t="str">
        <x:v>native</x:v>
      </x:c>
      <x:c r="I32" s="27" t="str">
        <x:v>Xiang et al.</x:v>
      </x:c>
      <x:c r="J32" s="27" t="str">
        <x:v>2020</x:v>
      </x:c>
      <x:c r="K32" s="27" t="str">
        <x:v>Interpreting impoliteness and over-politeness</x:v>
      </x:c>
      <x:c r="L32" s="27" t="str">
        <x:v>대역이탈양방향·통역</x:v>
      </x:c>
      <x:c r="M32" s="27" t="str">
        <x:v>unverified</x:v>
      </x:c>
      <x:c r="N32" s="27" t="str">
        <x:v>M0</x:v>
      </x:c>
      <x:c r="O32" s="27" t="str"/>
      <x:c r="P32" s="27"/>
      <x:c r="Q32" s="27"/>
      <x:c r="R32" s="27"/>
      <x:c r="S32" s="27"/>
      <x:c r="T32" s="27"/>
      <x:c r="U32" s="27"/>
      <x:c r="V32" s="27" t="str">
        <x:f>IF(COUNTA(P32:U32)=0,"",SUM(P32:U32))</x:f>
      </x:c>
      <x:c r="W32" s="27" t="str">
        <x:v>02-001</x:v>
      </x:c>
      <x:c r="X32" s="27" t="str">
        <x:v>T1_candidate</x:v>
      </x:c>
      <x:c r="Y32" s="27" t="str">
        <x:v>owned</x:v>
      </x:c>
      <x:c r="Z32" s="27" t="str"/>
      <x:c r="AA32" s="27" t="str"/>
      <x:c r="AB32" s="27" t="str"/>
      <x:c r="AC32" s="27" t="str">
        <x:v>C:\PRAGMA_THESIS_LOCAL\02_문헌\학술문헌\[02-001]_Xiang et al.(2020)_Interpreting impoliteness and over-politeness_대역이탈양방향·통역.pdf</x:v>
      </x:c>
      <x:c r="AD32" s="27" t="str">
        <x:v>2026-08-11T15:17:18</x:v>
      </x:c>
      <x:c r="AE32" s="28" t="n">
        <x:v>848498</x:v>
      </x:c>
      <x:c r="AF32" s="27" t="str">
        <x:v>9549c1ce57352caa8d1739810e74d04e8bed72b474ac5fc3f6f20780d10a3d13</x:v>
      </x:c>
      <x:c r="AG32" s="27" t="str"/>
    </x:row>
    <x:row r="33" ht="18" customHeight="1">
      <x:c r="A33" s="27" t="str">
        <x:v>LIT-20260814-032</x:v>
      </x:c>
      <x:c r="B33" s="27" t="str">
        <x:v>02-001</x:v>
      </x:c>
      <x:c r="C33" s="27" t="str">
        <x:v>zh</x:v>
      </x:c>
      <x:c r="D33" s="27" t="str">
        <x:v>[02-001]_冉永平(2006)_翻译中的信息空缺语境补缺及语用充实_화용적등가·통번역.pdf</x:v>
      </x:c>
      <x:c r="E33" s="27" t="str">
        <x:v>PDF</x:v>
      </x:c>
      <x:c r="F33" s="27" t="n">
        <x:v>8</x:v>
      </x:c>
      <x:c r="G33" s="27" t="str">
        <x:v>full</x:v>
      </x:c>
      <x:c r="H33" s="27" t="str">
        <x:v>native</x:v>
      </x:c>
      <x:c r="I33" s="27" t="str">
        <x:v>冉永平</x:v>
      </x:c>
      <x:c r="J33" s="27" t="str">
        <x:v>2006</x:v>
      </x:c>
      <x:c r="K33" s="27" t="str">
        <x:v>翻译中的信息空缺语境补缺及语用充实</x:v>
      </x:c>
      <x:c r="L33" s="27" t="str">
        <x:v>화용적등가·통번역</x:v>
      </x:c>
      <x:c r="M33" s="27" t="str">
        <x:v>unverified</x:v>
      </x:c>
      <x:c r="N33" s="27" t="str">
        <x:v>M0</x:v>
      </x:c>
      <x:c r="O33" s="27" t="str"/>
      <x:c r="P33" s="27"/>
      <x:c r="Q33" s="27"/>
      <x:c r="R33" s="27"/>
      <x:c r="S33" s="27"/>
      <x:c r="T33" s="27"/>
      <x:c r="U33" s="27"/>
      <x:c r="V33" s="27" t="str">
        <x:f>IF(COUNTA(P33:U33)=0,"",SUM(P33:U33))</x:f>
      </x:c>
      <x:c r="W33" s="27" t="str">
        <x:v>02-001</x:v>
      </x:c>
      <x:c r="X33" s="27" t="str">
        <x:v>T1_candidate</x:v>
      </x:c>
      <x:c r="Y33" s="27" t="str">
        <x:v>owned</x:v>
      </x:c>
      <x:c r="Z33" s="27" t="str"/>
      <x:c r="AA33" s="27" t="str"/>
      <x:c r="AB33" s="27" t="str"/>
      <x:c r="AC33" s="27" t="str">
        <x:v>C:\PRAGMA_THESIS_LOCAL\02_문헌\학술문헌\[02-001]_冉永平(2006)_翻译中的信息空缺语境补缺及语用充实_화용적등가·통번역.pdf</x:v>
      </x:c>
      <x:c r="AD33" s="27" t="str">
        <x:v>2026-08-14T11:14:49</x:v>
      </x:c>
      <x:c r="AE33" s="28" t="n">
        <x:v>395034</x:v>
      </x:c>
      <x:c r="AF33" s="27" t="str">
        <x:v>4b704792106033b7787a49a74be29e82de8876173d49f6b74213f9074427dbf8</x:v>
      </x:c>
      <x:c r="AG33" s="27" t="str"/>
    </x:row>
    <x:row r="34" ht="18" customHeight="1">
      <x:c r="A34" s="27" t="str">
        <x:v>LIT-20260814-033</x:v>
      </x:c>
      <x:c r="B34" s="27" t="str">
        <x:v>02-001</x:v>
      </x:c>
      <x:c r="C34" s="27" t="str">
        <x:v>zh</x:v>
      </x:c>
      <x:c r="D34" s="27" t="str">
        <x:v>[02-001]_张新红 等(2001)_语用翻译语用学理论在翻译中的应用_화용번역·관련성이론.pdf</x:v>
      </x:c>
      <x:c r="E34" s="27" t="str">
        <x:v>PDF</x:v>
      </x:c>
      <x:c r="F34" s="27" t="n">
        <x:v>9</x:v>
      </x:c>
      <x:c r="G34" s="27" t="str">
        <x:v>full</x:v>
      </x:c>
      <x:c r="H34" s="27" t="str">
        <x:v>native</x:v>
      </x:c>
      <x:c r="I34" s="27" t="str">
        <x:v>张新红 等</x:v>
      </x:c>
      <x:c r="J34" s="27" t="str">
        <x:v>2001</x:v>
      </x:c>
      <x:c r="K34" s="27" t="str">
        <x:v>语用翻译语用学理论在翻译中的应用</x:v>
      </x:c>
      <x:c r="L34" s="27" t="str">
        <x:v>화용번역·관련성이론</x:v>
      </x:c>
      <x:c r="M34" s="27" t="str">
        <x:v>unverified</x:v>
      </x:c>
      <x:c r="N34" s="27" t="str">
        <x:v>M0</x:v>
      </x:c>
      <x:c r="O34" s="27" t="str"/>
      <x:c r="P34" s="27"/>
      <x:c r="Q34" s="27"/>
      <x:c r="R34" s="27"/>
      <x:c r="S34" s="27"/>
      <x:c r="T34" s="27"/>
      <x:c r="U34" s="27"/>
      <x:c r="V34" s="27" t="str">
        <x:f>IF(COUNTA(P34:U34)=0,"",SUM(P34:U34))</x:f>
      </x:c>
      <x:c r="W34" s="27" t="str">
        <x:v>02-001</x:v>
      </x:c>
      <x:c r="X34" s="27" t="str">
        <x:v>T1_candidate</x:v>
      </x:c>
      <x:c r="Y34" s="27" t="str">
        <x:v>owned</x:v>
      </x:c>
      <x:c r="Z34" s="27" t="str"/>
      <x:c r="AA34" s="27" t="str"/>
      <x:c r="AB34" s="27" t="str"/>
      <x:c r="AC34" s="27" t="str">
        <x:v>C:\PRAGMA_THESIS_LOCAL\02_문헌\학술문헌\[02-001]_张新红 等(2001)_语用翻译语用学理论在翻译中的应用_화용번역·관련성이론.pdf</x:v>
      </x:c>
      <x:c r="AD34" s="27" t="str">
        <x:v>2026-08-14T11:14:27</x:v>
      </x:c>
      <x:c r="AE34" s="28" t="n">
        <x:v>177182</x:v>
      </x:c>
      <x:c r="AF34" s="27" t="str">
        <x:v>d5970eeb85dcb315cba8fe22df0099ffa2d4bb072b330f923cb08b954ef58a37</x:v>
      </x:c>
      <x:c r="AG34" s="27" t="str"/>
    </x:row>
    <x:row r="35" ht="18" customHeight="1">
      <x:c r="A35" s="27" t="str">
        <x:v>LIT-20260814-034</x:v>
      </x:c>
      <x:c r="B35" s="27" t="str">
        <x:v>02-001</x:v>
      </x:c>
      <x:c r="C35" s="27" t="str">
        <x:v>zh</x:v>
      </x:c>
      <x:c r="D35" s="27" t="str">
        <x:v>[02-001]_曾文雄(n.d.)_口译的语用流利性_화용적등가·통역.pdf</x:v>
      </x:c>
      <x:c r="E35" s="27" t="str">
        <x:v>PDF</x:v>
      </x:c>
      <x:c r="F35" s="27" t="n">
        <x:v>4</x:v>
      </x:c>
      <x:c r="G35" s="27" t="str">
        <x:v>full</x:v>
      </x:c>
      <x:c r="H35" s="27" t="str">
        <x:v>native</x:v>
      </x:c>
      <x:c r="I35" s="27" t="str">
        <x:v>曾文雄</x:v>
      </x:c>
      <x:c r="J35" s="27" t="str">
        <x:v>n.d.</x:v>
      </x:c>
      <x:c r="K35" s="27" t="str">
        <x:v>口译的语用流利性</x:v>
      </x:c>
      <x:c r="L35" s="27" t="str">
        <x:v>화용적등가·통역</x:v>
      </x:c>
      <x:c r="M35" s="27" t="str">
        <x:v>unverified</x:v>
      </x:c>
      <x:c r="N35" s="27" t="str">
        <x:v>M0</x:v>
      </x:c>
      <x:c r="O35" s="27" t="str"/>
      <x:c r="P35" s="27"/>
      <x:c r="Q35" s="27"/>
      <x:c r="R35" s="27"/>
      <x:c r="S35" s="27"/>
      <x:c r="T35" s="27"/>
      <x:c r="U35" s="27"/>
      <x:c r="V35" s="27" t="str">
        <x:f>IF(COUNTA(P35:U35)=0,"",SUM(P35:U35))</x:f>
      </x:c>
      <x:c r="W35" s="27" t="str">
        <x:v>02-001</x:v>
      </x:c>
      <x:c r="X35" s="27" t="str">
        <x:v>T1_candidate</x:v>
      </x:c>
      <x:c r="Y35" s="27" t="str">
        <x:v>owned</x:v>
      </x:c>
      <x:c r="Z35" s="27" t="str">
        <x:v>year_unverified</x:v>
      </x:c>
      <x:c r="AA35" s="27" t="str"/>
      <x:c r="AB35" s="27" t="str"/>
      <x:c r="AC35" s="27" t="str">
        <x:v>C:\PRAGMA_THESIS_LOCAL\02_문헌\학술문헌\[02-001]_曾文雄(n.d.)_口译的语用流利性_화용적등가·통역.pdf</x:v>
      </x:c>
      <x:c r="AD35" s="27" t="str">
        <x:v>2026-08-14T12:09:08</x:v>
      </x:c>
      <x:c r="AE35" s="28" t="n">
        <x:v>258274</x:v>
      </x:c>
      <x:c r="AF35" s="27" t="str">
        <x:v>aaa95a3ff6c7ff668170d37da8d24dce6be166bfc8a718d07ef20b7722056afb</x:v>
      </x:c>
      <x:c r="AG35" s="27" t="str"/>
    </x:row>
    <x:row r="36" ht="18" customHeight="1">
      <x:c r="A36" s="27" t="str">
        <x:v>LIT-20260814-035</x:v>
      </x:c>
      <x:c r="B36" s="27" t="str">
        <x:v>02-001</x:v>
      </x:c>
      <x:c r="C36" s="27" t="str">
        <x:v>zh</x:v>
      </x:c>
      <x:c r="D36" s="27" t="str">
        <x:v>[02-001]_王丽 等(2015)_基于语料库的汉英会议模糊限制语口译研究_헤지·회의통역코퍼스.pdf</x:v>
      </x:c>
      <x:c r="E36" s="27" t="str">
        <x:v>PDF</x:v>
      </x:c>
      <x:c r="F36" s="27" t="n">
        <x:v>5</x:v>
      </x:c>
      <x:c r="G36" s="27" t="str">
        <x:v>full</x:v>
      </x:c>
      <x:c r="H36" s="27" t="str">
        <x:v>native</x:v>
      </x:c>
      <x:c r="I36" s="27" t="str">
        <x:v>王丽 等</x:v>
      </x:c>
      <x:c r="J36" s="27" t="str">
        <x:v>2015</x:v>
      </x:c>
      <x:c r="K36" s="27" t="str">
        <x:v>基于语料库的汉英会议模糊限制语口译研究</x:v>
      </x:c>
      <x:c r="L36" s="27" t="str">
        <x:v>헤지·회의통역코퍼스</x:v>
      </x:c>
      <x:c r="M36" s="27" t="str">
        <x:v>unverified</x:v>
      </x:c>
      <x:c r="N36" s="27" t="str">
        <x:v>M0</x:v>
      </x:c>
      <x:c r="O36" s="27" t="str"/>
      <x:c r="P36" s="27"/>
      <x:c r="Q36" s="27"/>
      <x:c r="R36" s="27"/>
      <x:c r="S36" s="27"/>
      <x:c r="T36" s="27"/>
      <x:c r="U36" s="27"/>
      <x:c r="V36" s="27" t="str">
        <x:f>IF(COUNTA(P36:U36)=0,"",SUM(P36:U36))</x:f>
      </x:c>
      <x:c r="W36" s="27" t="str">
        <x:v>02-001</x:v>
      </x:c>
      <x:c r="X36" s="27" t="str">
        <x:v>T1_candidate</x:v>
      </x:c>
      <x:c r="Y36" s="27" t="str">
        <x:v>owned</x:v>
      </x:c>
      <x:c r="Z36" s="27" t="str"/>
      <x:c r="AA36" s="27" t="str"/>
      <x:c r="AB36" s="27" t="str"/>
      <x:c r="AC36" s="27" t="str">
        <x:v>C:\PRAGMA_THESIS_LOCAL\02_문헌\학술문헌\[02-001]_王丽 等(2015)_基于语料库的汉英会议模糊限制语口译研究_헤지·회의통역코퍼스.pdf</x:v>
      </x:c>
      <x:c r="AD36" s="27" t="str">
        <x:v>2026-08-14T11:12:40</x:v>
      </x:c>
      <x:c r="AE36" s="28" t="n">
        <x:v>2075199</x:v>
      </x:c>
      <x:c r="AF36" s="27" t="str">
        <x:v>6394844c04ab8430d6785f9ebfdfdfbd9718ade7428282533ccb805d2ceb0205</x:v>
      </x:c>
      <x:c r="AG36" s="27" t="str"/>
    </x:row>
    <x:row r="37" ht="18" customHeight="1">
      <x:c r="A37" s="27" t="str">
        <x:v>LIT-20260814-036</x:v>
      </x:c>
      <x:c r="B37" s="27" t="str">
        <x:v>02-001</x:v>
      </x:c>
      <x:c r="C37" s="27" t="str">
        <x:v>zh</x:v>
      </x:c>
      <x:c r="D37" s="27" t="str">
        <x:v>[02-001]_蔡小红 等(2003)_论口译的质量与效果评估_통역품질평가·판정기준.pdf</x:v>
      </x:c>
      <x:c r="E37" s="27" t="str">
        <x:v>PDF</x:v>
      </x:c>
      <x:c r="F37" s="27" t="n">
        <x:v>6</x:v>
      </x:c>
      <x:c r="G37" s="27" t="str">
        <x:v>full</x:v>
      </x:c>
      <x:c r="H37" s="27" t="str">
        <x:v>native</x:v>
      </x:c>
      <x:c r="I37" s="27" t="str">
        <x:v>蔡小红 等</x:v>
      </x:c>
      <x:c r="J37" s="27" t="str">
        <x:v>2003</x:v>
      </x:c>
      <x:c r="K37" s="27" t="str">
        <x:v>论口译的质量与效果评估</x:v>
      </x:c>
      <x:c r="L37" s="27" t="str">
        <x:v>통역품질평가·판정기준</x:v>
      </x:c>
      <x:c r="M37" s="27" t="str">
        <x:v>unverified</x:v>
      </x:c>
      <x:c r="N37" s="27" t="str">
        <x:v>M0</x:v>
      </x:c>
      <x:c r="O37" s="27" t="str"/>
      <x:c r="P37" s="27"/>
      <x:c r="Q37" s="27"/>
      <x:c r="R37" s="27"/>
      <x:c r="S37" s="27"/>
      <x:c r="T37" s="27"/>
      <x:c r="U37" s="27"/>
      <x:c r="V37" s="27" t="str">
        <x:f>IF(COUNTA(P37:U37)=0,"",SUM(P37:U37))</x:f>
      </x:c>
      <x:c r="W37" s="27" t="str">
        <x:v>02-001</x:v>
      </x:c>
      <x:c r="X37" s="27" t="str">
        <x:v>T1_candidate</x:v>
      </x:c>
      <x:c r="Y37" s="27" t="str">
        <x:v>owned</x:v>
      </x:c>
      <x:c r="Z37" s="27" t="str"/>
      <x:c r="AA37" s="27" t="str"/>
      <x:c r="AB37" s="27" t="str"/>
      <x:c r="AC37" s="27" t="str">
        <x:v>C:\PRAGMA_THESIS_LOCAL\02_문헌\학술문헌\[02-001]_蔡小红 等(2003)_论口译的质量与效果评估_통역품질평가·판정기준.pdf</x:v>
      </x:c>
      <x:c r="AD37" s="27" t="str">
        <x:v>2026-08-14T11:50:43</x:v>
      </x:c>
      <x:c r="AE37" s="28" t="n">
        <x:v>366535</x:v>
      </x:c>
      <x:c r="AF37" s="27" t="str">
        <x:v>0b42cea5668f380ed6974afa7de3de14be843f136059a9c157b42b44c54fb5ed</x:v>
      </x:c>
      <x:c r="AG37" s="27" t="str"/>
    </x:row>
    <x:row r="38" ht="18" customHeight="1">
      <x:c r="A38" s="27" t="str">
        <x:v>LIT-20260814-037</x:v>
      </x:c>
      <x:c r="B38" s="27" t="str">
        <x:v>02-001</x:v>
      </x:c>
      <x:c r="C38" s="27" t="str">
        <x:v>zh</x:v>
      </x:c>
      <x:c r="D38" s="27" t="str">
        <x:v>[02-001]_鲍晓英 等(2013)_学生口译语用能力培养模式构建_통역화용능력·교수모형.pdf</x:v>
      </x:c>
      <x:c r="E38" s="27" t="str">
        <x:v>PDF</x:v>
      </x:c>
      <x:c r="F38" s="27" t="n">
        <x:v>7</x:v>
      </x:c>
      <x:c r="G38" s="27" t="str">
        <x:v>full</x:v>
      </x:c>
      <x:c r="H38" s="27" t="str">
        <x:v>native</x:v>
      </x:c>
      <x:c r="I38" s="27" t="str">
        <x:v>鲍晓英 等</x:v>
      </x:c>
      <x:c r="J38" s="27" t="str">
        <x:v>2013</x:v>
      </x:c>
      <x:c r="K38" s="27" t="str">
        <x:v>学生口译语用能力培养模式构建</x:v>
      </x:c>
      <x:c r="L38" s="27" t="str">
        <x:v>통역화용능력·교수모형</x:v>
      </x:c>
      <x:c r="M38" s="27" t="str">
        <x:v>unverified</x:v>
      </x:c>
      <x:c r="N38" s="27" t="str">
        <x:v>M0</x:v>
      </x:c>
      <x:c r="O38" s="27" t="str"/>
      <x:c r="P38" s="27"/>
      <x:c r="Q38" s="27"/>
      <x:c r="R38" s="27"/>
      <x:c r="S38" s="27"/>
      <x:c r="T38" s="27"/>
      <x:c r="U38" s="27"/>
      <x:c r="V38" s="27" t="str">
        <x:f>IF(COUNTA(P38:U38)=0,"",SUM(P38:U38))</x:f>
      </x:c>
      <x:c r="W38" s="27" t="str">
        <x:v>02-001</x:v>
      </x:c>
      <x:c r="X38" s="27" t="str">
        <x:v>T1_candidate</x:v>
      </x:c>
      <x:c r="Y38" s="27" t="str">
        <x:v>owned</x:v>
      </x:c>
      <x:c r="Z38" s="27" t="str"/>
      <x:c r="AA38" s="27" t="str"/>
      <x:c r="AB38" s="27" t="str"/>
      <x:c r="AC38" s="27" t="str">
        <x:v>C:\PRAGMA_THESIS_LOCAL\02_문헌\학술문헌\[02-001]_鲍晓英 等(2013)_学生口译语用能力培养模式构建_통역화용능력·교수모형.pdf</x:v>
      </x:c>
      <x:c r="AD38" s="27" t="str">
        <x:v>2026-08-14T12:09:30</x:v>
      </x:c>
      <x:c r="AE38" s="28" t="n">
        <x:v>364441</x:v>
      </x:c>
      <x:c r="AF38" s="27" t="str">
        <x:v>0d42d749d4f79cc79a2df92f2fff9bc21cf303acc26ad9d0b4168439aa4523c6</x:v>
      </x:c>
      <x:c r="AG38" s="27" t="str"/>
    </x:row>
    <x:row r="39" ht="18" customHeight="1">
      <x:c r="A39" s="27" t="str">
        <x:v>LIT-20260814-038</x:v>
      </x:c>
      <x:c r="B39" s="27" t="str">
        <x:v>02-001</x:v>
      </x:c>
      <x:c r="C39" s="27" t="str">
        <x:v>ko</x:v>
      </x:c>
      <x:c r="D39" s="27" t="str">
        <x:v>[02-001]_김지은(2019)_한중 희곡 번역 연구 曹禺 雷雨의 화행 변환_화행변환·희곡번역.pdf</x:v>
      </x:c>
      <x:c r="E39" s="27" t="str">
        <x:v>PDF</x:v>
      </x:c>
      <x:c r="F39" s="27" t="n">
        <x:v>24</x:v>
      </x:c>
      <x:c r="G39" s="27" t="str">
        <x:v>full</x:v>
      </x:c>
      <x:c r="H39" s="27" t="str">
        <x:v>native</x:v>
      </x:c>
      <x:c r="I39" s="27" t="str">
        <x:v>김지은</x:v>
      </x:c>
      <x:c r="J39" s="27" t="str">
        <x:v>2019</x:v>
      </x:c>
      <x:c r="K39" s="27" t="str">
        <x:v>한중 희곡 번역 연구 曹禺 雷雨의 화행 변환</x:v>
      </x:c>
      <x:c r="L39" s="27" t="str">
        <x:v>화행변환·희곡번역</x:v>
      </x:c>
      <x:c r="M39" s="27" t="str">
        <x:v>unverified</x:v>
      </x:c>
      <x:c r="N39" s="27" t="str">
        <x:v>M0</x:v>
      </x:c>
      <x:c r="O39" s="27" t="str"/>
      <x:c r="P39" s="27"/>
      <x:c r="Q39" s="27"/>
      <x:c r="R39" s="27"/>
      <x:c r="S39" s="27"/>
      <x:c r="T39" s="27"/>
      <x:c r="U39" s="27"/>
      <x:c r="V39" s="27" t="str">
        <x:f>IF(COUNTA(P39:U39)=0,"",SUM(P39:U39))</x:f>
      </x:c>
      <x:c r="W39" s="27" t="str">
        <x:v>02-001</x:v>
      </x:c>
      <x:c r="X39" s="27" t="str">
        <x:v>T1_candidate</x:v>
      </x:c>
      <x:c r="Y39" s="27" t="str">
        <x:v>owned</x:v>
      </x:c>
      <x:c r="Z39" s="27" t="str"/>
      <x:c r="AA39" s="27" t="str"/>
      <x:c r="AB39" s="27" t="str"/>
      <x:c r="AC39" s="27" t="str">
        <x:v>C:\PRAGMA_THESIS_LOCAL\02_문헌\학술문헌\[02-001]_김지은(2019)_한중 희곡 번역 연구 曹禺 雷雨의 화행 변환_화행변환·희곡번역.pdf</x:v>
      </x:c>
      <x:c r="AD39" s="27" t="str">
        <x:v>2026-08-13T20:26:41</x:v>
      </x:c>
      <x:c r="AE39" s="28" t="n">
        <x:v>914094</x:v>
      </x:c>
      <x:c r="AF39" s="27" t="str">
        <x:v>6b7f43e55b55b289eeec5ad6282c0ee64ac22773c0900c519466263067a4e071</x:v>
      </x:c>
      <x:c r="AG39" s="27" t="str"/>
    </x:row>
    <x:row r="40" ht="18" customHeight="1">
      <x:c r="A40" s="27" t="str">
        <x:v>LIT-20260814-039</x:v>
      </x:c>
      <x:c r="B40" s="27" t="str">
        <x:v>02-001</x:v>
      </x:c>
      <x:c r="C40" s="27" t="str">
        <x:v>ko</x:v>
      </x:c>
      <x:c r="D40" s="27" t="str">
        <x:v>[02-001]_김혜림 외(2007)_칭찬과 반응 중심으로 살펴본 문화간 화행통역_칭찬화행·통역.pdf</x:v>
      </x:c>
      <x:c r="E40" s="27" t="str">
        <x:v>PDF</x:v>
      </x:c>
      <x:c r="F40" s="27" t="n">
        <x:v>11</x:v>
      </x:c>
      <x:c r="G40" s="27" t="str">
        <x:v>full</x:v>
      </x:c>
      <x:c r="H40" s="27" t="str">
        <x:v>native</x:v>
      </x:c>
      <x:c r="I40" s="27" t="str">
        <x:v>김혜림 외</x:v>
      </x:c>
      <x:c r="J40" s="27" t="str">
        <x:v>2007</x:v>
      </x:c>
      <x:c r="K40" s="27" t="str">
        <x:v>칭찬과 반응 중심으로 살펴본 문화간 화행통역</x:v>
      </x:c>
      <x:c r="L40" s="27" t="str">
        <x:v>칭찬화행·통역</x:v>
      </x:c>
      <x:c r="M40" s="27" t="str">
        <x:v>unverified</x:v>
      </x:c>
      <x:c r="N40" s="27" t="str">
        <x:v>M0</x:v>
      </x:c>
      <x:c r="O40" s="27" t="str"/>
      <x:c r="P40" s="27"/>
      <x:c r="Q40" s="27"/>
      <x:c r="R40" s="27"/>
      <x:c r="S40" s="27"/>
      <x:c r="T40" s="27"/>
      <x:c r="U40" s="27"/>
      <x:c r="V40" s="27" t="str">
        <x:f>IF(COUNTA(P40:U40)=0,"",SUM(P40:U40))</x:f>
      </x:c>
      <x:c r="W40" s="27" t="str">
        <x:v>02-001</x:v>
      </x:c>
      <x:c r="X40" s="27" t="str">
        <x:v>T1_candidate</x:v>
      </x:c>
      <x:c r="Y40" s="27" t="str">
        <x:v>owned</x:v>
      </x:c>
      <x:c r="Z40" s="27" t="str"/>
      <x:c r="AA40" s="27" t="str"/>
      <x:c r="AB40" s="27" t="str"/>
      <x:c r="AC40" s="27" t="str">
        <x:v>C:\PRAGMA_THESIS_LOCAL\02_문헌\학술문헌\[02-001]_김혜림 외(2007)_칭찬과 반응 중심으로 살펴본 문화간 화행통역_칭찬화행·통역.pdf</x:v>
      </x:c>
      <x:c r="AD40" s="27" t="str">
        <x:v>2026-08-13T20:24:29</x:v>
      </x:c>
      <x:c r="AE40" s="28" t="n">
        <x:v>205303</x:v>
      </x:c>
      <x:c r="AF40" s="27" t="str">
        <x:v>dac777b5fa8eb9ea838ef40e0f0afa4fb5de5c313679cf0ef71d3d5835bb98cf</x:v>
      </x:c>
      <x:c r="AG40" s="27" t="str"/>
    </x:row>
    <x:row r="41" ht="18" customHeight="1">
      <x:c r="A41" s="27" t="str">
        <x:v>LIT-20260814-040</x:v>
      </x:c>
      <x:c r="B41" s="27" t="str">
        <x:v>02-001</x:v>
      </x:c>
      <x:c r="C41" s="27" t="str">
        <x:v>ko</x:v>
      </x:c>
      <x:c r="D41" s="27" t="str">
        <x:v>[02-001]_신지안 외(2023)_중-한 대화 번역에서 인칭직시어와 사회직시어 고찰_공손성원리·직시어번역.pdf</x:v>
      </x:c>
      <x:c r="E41" s="27" t="str">
        <x:v>PDF</x:v>
      </x:c>
      <x:c r="F41" s="27" t="n">
        <x:v>19</x:v>
      </x:c>
      <x:c r="G41" s="27" t="str">
        <x:v>full</x:v>
      </x:c>
      <x:c r="H41" s="27" t="str">
        <x:v>native</x:v>
      </x:c>
      <x:c r="I41" s="27" t="str">
        <x:v>신지안 외</x:v>
      </x:c>
      <x:c r="J41" s="27" t="str">
        <x:v>2023</x:v>
      </x:c>
      <x:c r="K41" s="27" t="str">
        <x:v>중-한 대화 번역에서 인칭직시어와 사회직시어 고찰</x:v>
      </x:c>
      <x:c r="L41" s="27" t="str">
        <x:v>공손성원리·직시어번역</x:v>
      </x:c>
      <x:c r="M41" s="27" t="str">
        <x:v>unverified</x:v>
      </x:c>
      <x:c r="N41" s="27" t="str">
        <x:v>M0</x:v>
      </x:c>
      <x:c r="O41" s="27" t="str"/>
      <x:c r="P41" s="27"/>
      <x:c r="Q41" s="27"/>
      <x:c r="R41" s="27"/>
      <x:c r="S41" s="27"/>
      <x:c r="T41" s="27"/>
      <x:c r="U41" s="27"/>
      <x:c r="V41" s="27" t="str">
        <x:f>IF(COUNTA(P41:U41)=0,"",SUM(P41:U41))</x:f>
      </x:c>
      <x:c r="W41" s="27" t="str">
        <x:v>02-001</x:v>
      </x:c>
      <x:c r="X41" s="27" t="str">
        <x:v>T1_candidate</x:v>
      </x:c>
      <x:c r="Y41" s="27" t="str">
        <x:v>owned</x:v>
      </x:c>
      <x:c r="Z41" s="27" t="str"/>
      <x:c r="AA41" s="27" t="str"/>
      <x:c r="AB41" s="27" t="str"/>
      <x:c r="AC41" s="27" t="str">
        <x:v>C:\PRAGMA_THESIS_LOCAL\02_문헌\학술문헌\[02-001]_신지안 외(2023)_중-한 대화 번역에서 인칭직시어와 사회직시어 고찰_공손성원리·직시어번역.pdf</x:v>
      </x:c>
      <x:c r="AD41" s="27" t="str">
        <x:v>2026-08-13T20:25:12</x:v>
      </x:c>
      <x:c r="AE41" s="28" t="n">
        <x:v>777489</x:v>
      </x:c>
      <x:c r="AF41" s="27" t="str">
        <x:v>6433b09b5e341bcccdfc0844382e9ac6194c03b900b61cf1fb76b9e902c0356f</x:v>
      </x:c>
      <x:c r="AG41" s="27" t="str"/>
    </x:row>
    <x:row r="42" ht="18" customHeight="1">
      <x:c r="A42" s="27" t="str">
        <x:v>LIT-20260814-041</x:v>
      </x:c>
      <x:c r="B42" s="27" t="str">
        <x:v>02-001</x:v>
      </x:c>
      <x:c r="C42" s="27" t="str">
        <x:v>ko</x:v>
      </x:c>
      <x:c r="D42" s="27" t="str">
        <x:v>[02-001]_이정순(2026)_중한 문화번역 왜곡 현상과 번역 교육에의 함의_문화번역·번역교육.pdf</x:v>
      </x:c>
      <x:c r="E42" s="27" t="str">
        <x:v>PDF</x:v>
      </x:c>
      <x:c r="F42" s="27" t="n">
        <x:v>23</x:v>
      </x:c>
      <x:c r="G42" s="27" t="str">
        <x:v>full</x:v>
      </x:c>
      <x:c r="H42" s="27" t="str">
        <x:v>native</x:v>
      </x:c>
      <x:c r="I42" s="27" t="str">
        <x:v>이정순</x:v>
      </x:c>
      <x:c r="J42" s="27" t="str">
        <x:v>2026</x:v>
      </x:c>
      <x:c r="K42" s="27" t="str">
        <x:v>중한 문화번역 왜곡 현상과 번역 교육에의 함의</x:v>
      </x:c>
      <x:c r="L42" s="27" t="str">
        <x:v>문화번역·번역교육</x:v>
      </x:c>
      <x:c r="M42" s="27" t="str">
        <x:v>unverified</x:v>
      </x:c>
      <x:c r="N42" s="27" t="str">
        <x:v>M0</x:v>
      </x:c>
      <x:c r="O42" s="27" t="str"/>
      <x:c r="P42" s="27"/>
      <x:c r="Q42" s="27"/>
      <x:c r="R42" s="27"/>
      <x:c r="S42" s="27"/>
      <x:c r="T42" s="27"/>
      <x:c r="U42" s="27"/>
      <x:c r="V42" s="27" t="str">
        <x:f>IF(COUNTA(P42:U42)=0,"",SUM(P42:U42))</x:f>
      </x:c>
      <x:c r="W42" s="27" t="str">
        <x:v>02-001</x:v>
      </x:c>
      <x:c r="X42" s="27" t="str">
        <x:v>T1_candidate</x:v>
      </x:c>
      <x:c r="Y42" s="27" t="str">
        <x:v>owned</x:v>
      </x:c>
      <x:c r="Z42" s="27" t="str"/>
      <x:c r="AA42" s="27" t="str"/>
      <x:c r="AB42" s="27" t="str"/>
      <x:c r="AC42" s="27" t="str">
        <x:v>C:\PRAGMA_THESIS_LOCAL\02_문헌\학술문헌\[02-001]_이정순(2026)_중한 문화번역 왜곡 현상과 번역 교육에의 함의_문화번역·번역교육.pdf</x:v>
      </x:c>
      <x:c r="AD42" s="27" t="str">
        <x:v>2026-08-13T20:52:07</x:v>
      </x:c>
      <x:c r="AE42" s="28" t="n">
        <x:v>499123</x:v>
      </x:c>
      <x:c r="AF42" s="27" t="str">
        <x:v>07988c7daa89700030356683349e11d20bb2b296d21fe4f638968d54d4099ff4</x:v>
      </x:c>
      <x:c r="AG42" s="27" t="str"/>
    </x:row>
    <x:row r="43" ht="18" customHeight="1">
      <x:c r="A43" s="27" t="str">
        <x:v>LIT-20260814-042</x:v>
      </x:c>
      <x:c r="B43" s="27" t="str">
        <x:v>02-001</x:v>
      </x:c>
      <x:c r="C43" s="27" t="str">
        <x:v>ko</x:v>
      </x:c>
      <x:c r="D43" s="27" t="str">
        <x:v>[02-001]_임지영 외(2026)_시간지시어 번역의 문화적 전이 연구_문화전이·지시어번역.pdf</x:v>
      </x:c>
      <x:c r="E43" s="27" t="str">
        <x:v>PDF</x:v>
      </x:c>
      <x:c r="F43" s="27" t="n">
        <x:v>20</x:v>
      </x:c>
      <x:c r="G43" s="27" t="str">
        <x:v>full</x:v>
      </x:c>
      <x:c r="H43" s="27" t="str">
        <x:v>native</x:v>
      </x:c>
      <x:c r="I43" s="27" t="str">
        <x:v>임지영 외</x:v>
      </x:c>
      <x:c r="J43" s="27" t="str">
        <x:v>2026</x:v>
      </x:c>
      <x:c r="K43" s="27" t="str">
        <x:v>시간지시어 번역의 문화적 전이 연구</x:v>
      </x:c>
      <x:c r="L43" s="27" t="str">
        <x:v>문화전이·지시어번역</x:v>
      </x:c>
      <x:c r="M43" s="27" t="str">
        <x:v>unverified</x:v>
      </x:c>
      <x:c r="N43" s="27" t="str">
        <x:v>M0</x:v>
      </x:c>
      <x:c r="O43" s="27" t="str"/>
      <x:c r="P43" s="27"/>
      <x:c r="Q43" s="27"/>
      <x:c r="R43" s="27"/>
      <x:c r="S43" s="27"/>
      <x:c r="T43" s="27"/>
      <x:c r="U43" s="27"/>
      <x:c r="V43" s="27" t="str">
        <x:f>IF(COUNTA(P43:U43)=0,"",SUM(P43:U43))</x:f>
      </x:c>
      <x:c r="W43" s="27" t="str">
        <x:v>02-001</x:v>
      </x:c>
      <x:c r="X43" s="27" t="str">
        <x:v>T1_candidate</x:v>
      </x:c>
      <x:c r="Y43" s="27" t="str">
        <x:v>owned</x:v>
      </x:c>
      <x:c r="Z43" s="27" t="str"/>
      <x:c r="AA43" s="27" t="str"/>
      <x:c r="AB43" s="27" t="str"/>
      <x:c r="AC43" s="27" t="str">
        <x:v>C:\PRAGMA_THESIS_LOCAL\02_문헌\학술문헌\[02-001]_임지영 외(2026)_시간지시어 번역의 문화적 전이 연구_문화전이·지시어번역.pdf</x:v>
      </x:c>
      <x:c r="AD43" s="27" t="str">
        <x:v>2026-08-13T20:51:59</x:v>
      </x:c>
      <x:c r="AE43" s="28" t="n">
        <x:v>609323</x:v>
      </x:c>
      <x:c r="AF43" s="27" t="str">
        <x:v>5ea80ba0c5256425f7f3683cae7866727fdc2d10e4c8d9fc41b13aa7e1fa4a90</x:v>
      </x:c>
      <x:c r="AG43" s="27" t="str"/>
    </x:row>
    <x:row r="44" ht="18" customHeight="1">
      <x:c r="A44" s="27" t="str">
        <x:v>LIT-20260814-043</x:v>
      </x:c>
      <x:c r="B44" s="27" t="str">
        <x:v>02-001</x:v>
      </x:c>
      <x:c r="C44" s="27" t="str">
        <x:v>ko</x:v>
      </x:c>
      <x:c r="D44" s="27" t="str">
        <x:v>[02-001]_자양판(2021)_중한 시나리오 대화문 번역 연구 체면 손상 효과 분석_체면위협·대화번역.pdf</x:v>
      </x:c>
      <x:c r="E44" s="27" t="str">
        <x:v>PDF</x:v>
      </x:c>
      <x:c r="F44" s="27" t="n">
        <x:v>25</x:v>
      </x:c>
      <x:c r="G44" s="27" t="str">
        <x:v>full</x:v>
      </x:c>
      <x:c r="H44" s="27" t="str">
        <x:v>native</x:v>
      </x:c>
      <x:c r="I44" s="27" t="str">
        <x:v>자양판</x:v>
      </x:c>
      <x:c r="J44" s="27" t="str">
        <x:v>2021</x:v>
      </x:c>
      <x:c r="K44" s="27" t="str">
        <x:v>중한 시나리오 대화문 번역 연구 체면 손상 효과 분석</x:v>
      </x:c>
      <x:c r="L44" s="27" t="str">
        <x:v>체면위협·대화번역</x:v>
      </x:c>
      <x:c r="M44" s="27" t="str">
        <x:v>unverified</x:v>
      </x:c>
      <x:c r="N44" s="27" t="str">
        <x:v>M0</x:v>
      </x:c>
      <x:c r="O44" s="27" t="str"/>
      <x:c r="P44" s="27"/>
      <x:c r="Q44" s="27"/>
      <x:c r="R44" s="27"/>
      <x:c r="S44" s="27"/>
      <x:c r="T44" s="27"/>
      <x:c r="U44" s="27"/>
      <x:c r="V44" s="27" t="str">
        <x:f>IF(COUNTA(P44:U44)=0,"",SUM(P44:U44))</x:f>
      </x:c>
      <x:c r="W44" s="27" t="str">
        <x:v>02-001</x:v>
      </x:c>
      <x:c r="X44" s="27" t="str">
        <x:v>T1_candidate</x:v>
      </x:c>
      <x:c r="Y44" s="27" t="str">
        <x:v>owned</x:v>
      </x:c>
      <x:c r="Z44" s="27" t="str"/>
      <x:c r="AA44" s="27" t="str"/>
      <x:c r="AB44" s="27" t="str"/>
      <x:c r="AC44" s="27" t="str">
        <x:v>C:\PRAGMA_THESIS_LOCAL\02_문헌\학술문헌\[02-001]_자양판(2021)_중한 시나리오 대화문 번역 연구 체면 손상 효과 분석_체면위협·대화번역.pdf</x:v>
      </x:c>
      <x:c r="AD44" s="27" t="str">
        <x:v>2026-08-13T20:26:02</x:v>
      </x:c>
      <x:c r="AE44" s="28" t="n">
        <x:v>720256</x:v>
      </x:c>
      <x:c r="AF44" s="27" t="str">
        <x:v>9b17fae9502986e6f4817225a459b083902f27197153c11117d5414ccb2caf8e</x:v>
      </x:c>
      <x:c r="AG44" s="27" t="str"/>
    </x:row>
    <x:row r="45" ht="18" customHeight="1">
      <x:c r="A45" s="27" t="str">
        <x:v>LIT-20260814-044</x:v>
      </x:c>
      <x:c r="B45" s="27" t="str">
        <x:v>02-001</x:v>
      </x:c>
      <x:c r="C45" s="27" t="str">
        <x:v>ko</x:v>
      </x:c>
      <x:c r="D45" s="27" t="str">
        <x:v>[02-001]_진실희(2019)_소통적 통역 역량에 관한 연구 연설문의 명제적 대인적 발화 의도_통역역량·발화의도.pdf</x:v>
      </x:c>
      <x:c r="E45" s="27" t="str">
        <x:v>PDF</x:v>
      </x:c>
      <x:c r="F45" s="27" t="n">
        <x:v>28</x:v>
      </x:c>
      <x:c r="G45" s="27" t="str">
        <x:v>full</x:v>
      </x:c>
      <x:c r="H45" s="27" t="str">
        <x:v>native</x:v>
      </x:c>
      <x:c r="I45" s="27" t="str">
        <x:v>진실희</x:v>
      </x:c>
      <x:c r="J45" s="27" t="str">
        <x:v>2019</x:v>
      </x:c>
      <x:c r="K45" s="27" t="str">
        <x:v>소통적 통역 역량에 관한 연구 연설문의 명제적 대인적 발화 의도</x:v>
      </x:c>
      <x:c r="L45" s="27" t="str">
        <x:v>통역역량·발화의도</x:v>
      </x:c>
      <x:c r="M45" s="27" t="str">
        <x:v>unverified</x:v>
      </x:c>
      <x:c r="N45" s="27" t="str">
        <x:v>M0</x:v>
      </x:c>
      <x:c r="O45" s="27" t="str"/>
      <x:c r="P45" s="27"/>
      <x:c r="Q45" s="27"/>
      <x:c r="R45" s="27"/>
      <x:c r="S45" s="27"/>
      <x:c r="T45" s="27"/>
      <x:c r="U45" s="27"/>
      <x:c r="V45" s="27" t="str">
        <x:f>IF(COUNTA(P45:U45)=0,"",SUM(P45:U45))</x:f>
      </x:c>
      <x:c r="W45" s="27" t="str">
        <x:v>02-001</x:v>
      </x:c>
      <x:c r="X45" s="27" t="str">
        <x:v>T1_candidate</x:v>
      </x:c>
      <x:c r="Y45" s="27" t="str">
        <x:v>owned</x:v>
      </x:c>
      <x:c r="Z45" s="27" t="str"/>
      <x:c r="AA45" s="27" t="str"/>
      <x:c r="AB45" s="27" t="str"/>
      <x:c r="AC45" s="27" t="str">
        <x:v>C:\PRAGMA_THESIS_LOCAL\02_문헌\학술문헌\[02-001]_진실희(2019)_소통적 통역 역량에 관한 연구 연설문의 명제적 대인적 발화 의도_통역역량·발화의도.pdf</x:v>
      </x:c>
      <x:c r="AD45" s="27" t="str">
        <x:v>2026-08-13T20:24:17</x:v>
      </x:c>
      <x:c r="AE45" s="28" t="n">
        <x:v>798335</x:v>
      </x:c>
      <x:c r="AF45" s="27" t="str">
        <x:v>9c54cfff0157ea0c82fc514b5297520e44f9d3fb658cd758a0dda43fe6974e3d</x:v>
      </x:c>
      <x:c r="AG45" s="27" t="str"/>
    </x:row>
    <x:row r="46" ht="18" customHeight="1">
      <x:c r="A46" s="27" t="str">
        <x:v>LIT-20260814-045</x:v>
      </x:c>
      <x:c r="B46" s="27" t="str">
        <x:v>02-002</x:v>
      </x:c>
      <x:c r="C46" s="27" t="str">
        <x:v>en</x:v>
      </x:c>
      <x:c r="D46" s="27" t="str">
        <x:v>[02-002]_Culpeper(2011)_Politeness and Impoliteness_공손성이론·두물결.pdf</x:v>
      </x:c>
      <x:c r="E46" s="27" t="str">
        <x:v>PDF</x:v>
      </x:c>
      <x:c r="F46" s="27" t="n">
        <x:v>41</x:v>
      </x:c>
      <x:c r="G46" s="27" t="str">
        <x:v>full</x:v>
      </x:c>
      <x:c r="H46" s="27" t="str">
        <x:v>native</x:v>
      </x:c>
      <x:c r="I46" s="27" t="str">
        <x:v>Culpeper</x:v>
      </x:c>
      <x:c r="J46" s="27" t="str">
        <x:v>2011</x:v>
      </x:c>
      <x:c r="K46" s="27" t="str">
        <x:v>Politeness and Impoliteness</x:v>
      </x:c>
      <x:c r="L46" s="27" t="str">
        <x:v>공손성이론·두물결</x:v>
      </x:c>
      <x:c r="M46" s="27" t="str">
        <x:v>unverified</x:v>
      </x:c>
      <x:c r="N46" s="27" t="str">
        <x:v>M0</x:v>
      </x:c>
      <x:c r="O46" s="27" t="str"/>
      <x:c r="P46" s="27"/>
      <x:c r="Q46" s="27"/>
      <x:c r="R46" s="27"/>
      <x:c r="S46" s="27"/>
      <x:c r="T46" s="27"/>
      <x:c r="U46" s="27"/>
      <x:c r="V46" s="27" t="str">
        <x:f>IF(COUNTA(P46:U46)=0,"",SUM(P46:U46))</x:f>
      </x:c>
      <x:c r="W46" s="27" t="str">
        <x:v>02-002</x:v>
      </x:c>
      <x:c r="X46" s="27" t="str">
        <x:v>T1_candidate</x:v>
      </x:c>
      <x:c r="Y46" s="27" t="str">
        <x:v>owned</x:v>
      </x:c>
      <x:c r="Z46" s="27" t="str"/>
      <x:c r="AA46" s="27" t="str"/>
      <x:c r="AB46" s="27" t="str"/>
      <x:c r="AC46" s="27" t="str">
        <x:v>C:\PRAGMA_THESIS_LOCAL\02_문헌\학술문헌\[02-002]_Culpeper(2011)_Politeness and Impoliteness_공손성이론·두물결.pdf</x:v>
      </x:c>
      <x:c r="AD46" s="27" t="str">
        <x:v>2026-08-10T20:08:31</x:v>
      </x:c>
      <x:c r="AE46" s="28" t="n">
        <x:v>771094</x:v>
      </x:c>
      <x:c r="AF46" s="27" t="str">
        <x:v>b5111ed8f50d6e484dab7baae47c9507b4c5bf616c07f63c5c076fa86c613076</x:v>
      </x:c>
      <x:c r="AG46" s="27" t="str"/>
    </x:row>
    <x:row r="47" ht="18" customHeight="1">
      <x:c r="A47" s="27" t="str">
        <x:v>LIT-20260814-046</x:v>
      </x:c>
      <x:c r="B47" s="27" t="str">
        <x:v>02-002</x:v>
      </x:c>
      <x:c r="C47" s="27" t="str">
        <x:v>en</x:v>
      </x:c>
      <x:c r="D47" s="27" t="str">
        <x:v>[02-002]_Culpeper_Impoliteness (발췌)_불손·공손성이론.txt</x:v>
      </x:c>
      <x:c r="E47" s="27" t="str">
        <x:v>TXT</x:v>
      </x:c>
      <x:c r="F47" s="27"/>
      <x:c r="G47" s="27" t="str">
        <x:v>excerpt</x:v>
      </x:c>
      <x:c r="H47" s="27" t="str">
        <x:v>native</x:v>
      </x:c>
      <x:c r="I47" s="27" t="str">
        <x:v>Culpeper</x:v>
      </x:c>
      <x:c r="J47" s="27" t="str"/>
      <x:c r="K47" s="27" t="str">
        <x:v>Impoliteness (발췌)</x:v>
      </x:c>
      <x:c r="L47" s="27" t="str">
        <x:v>불손·공손성이론</x:v>
      </x:c>
      <x:c r="M47" s="27" t="str">
        <x:v>unverified</x:v>
      </x:c>
      <x:c r="N47" s="27" t="str">
        <x:v>M0</x:v>
      </x:c>
      <x:c r="O47" s="27" t="str"/>
      <x:c r="P47" s="27"/>
      <x:c r="Q47" s="27"/>
      <x:c r="R47" s="27"/>
      <x:c r="S47" s="27"/>
      <x:c r="T47" s="27"/>
      <x:c r="U47" s="27"/>
      <x:c r="V47" s="27" t="str">
        <x:f>IF(COUNTA(P47:U47)=0,"",SUM(P47:U47))</x:f>
      </x:c>
      <x:c r="W47" s="27" t="str">
        <x:v>02-002</x:v>
      </x:c>
      <x:c r="X47" s="27" t="str">
        <x:v>T1_candidate</x:v>
      </x:c>
      <x:c r="Y47" s="27" t="str">
        <x:v>owned</x:v>
      </x:c>
      <x:c r="Z47" s="27" t="str">
        <x:v>year_unverified</x:v>
      </x:c>
      <x:c r="AA47" s="27" t="str"/>
      <x:c r="AB47" s="27" t="str"/>
      <x:c r="AC47" s="27" t="str">
        <x:v>C:\PRAGMA_THESIS_LOCAL\02_문헌\학술문헌\[02-002]_Culpeper_Impoliteness (발췌)_불손·공손성이론.txt</x:v>
      </x:c>
      <x:c r="AD47" s="27" t="str">
        <x:v>2026-07-02T10:56:37</x:v>
      </x:c>
      <x:c r="AE47" s="28" t="n">
        <x:v>83635</x:v>
      </x:c>
      <x:c r="AF47" s="27" t="str">
        <x:v>e10bcfd8c48532117c66b074f1a443e720d8d6bf90af9213b4851ed0822c948e</x:v>
      </x:c>
      <x:c r="AG47" s="27" t="str"/>
    </x:row>
    <x:row r="48" ht="18" customHeight="1">
      <x:c r="A48" s="27" t="str">
        <x:v>LIT-20260814-047</x:v>
      </x:c>
      <x:c r="B48" s="27" t="str">
        <x:v>02-002</x:v>
      </x:c>
      <x:c r="C48" s="27" t="str">
        <x:v>en</x:v>
      </x:c>
      <x:c r="D48" s="27" t="str">
        <x:v>[02-002]_Gu(1990)_Politeness Phenomena in Modern Chinese_중국어공손4격률·중국고유공손.pdf</x:v>
      </x:c>
      <x:c r="E48" s="27" t="str">
        <x:v>PDF</x:v>
      </x:c>
      <x:c r="F48" s="27" t="n">
        <x:v>21</x:v>
      </x:c>
      <x:c r="G48" s="27" t="str">
        <x:v>full</x:v>
      </x:c>
      <x:c r="H48" s="27" t="str">
        <x:v>native</x:v>
      </x:c>
      <x:c r="I48" s="27" t="str">
        <x:v>Gu</x:v>
      </x:c>
      <x:c r="J48" s="27" t="str">
        <x:v>1990</x:v>
      </x:c>
      <x:c r="K48" s="27" t="str">
        <x:v>Politeness Phenomena in Modern Chinese</x:v>
      </x:c>
      <x:c r="L48" s="27" t="str">
        <x:v>중국어공손4격률·중국고유공손</x:v>
      </x:c>
      <x:c r="M48" s="27" t="str">
        <x:v>unverified</x:v>
      </x:c>
      <x:c r="N48" s="27" t="str">
        <x:v>M0</x:v>
      </x:c>
      <x:c r="O48" s="27" t="str"/>
      <x:c r="P48" s="27"/>
      <x:c r="Q48" s="27"/>
      <x:c r="R48" s="27"/>
      <x:c r="S48" s="27"/>
      <x:c r="T48" s="27"/>
      <x:c r="U48" s="27"/>
      <x:c r="V48" s="27" t="str">
        <x:f>IF(COUNTA(P48:U48)=0,"",SUM(P48:U48))</x:f>
      </x:c>
      <x:c r="W48" s="27" t="str">
        <x:v>02-002</x:v>
      </x:c>
      <x:c r="X48" s="27" t="str">
        <x:v>T1_candidate</x:v>
      </x:c>
      <x:c r="Y48" s="27" t="str">
        <x:v>owned</x:v>
      </x:c>
      <x:c r="Z48" s="27" t="str"/>
      <x:c r="AA48" s="27" t="str"/>
      <x:c r="AB48" s="27" t="str"/>
      <x:c r="AC48" s="27" t="str">
        <x:v>C:\PRAGMA_THESIS_LOCAL\02_문헌\학술문헌\[02-002]_Gu(1990)_Politeness Phenomena in Modern Chinese_중국어공손4격률·중국고유공손.pdf</x:v>
      </x:c>
      <x:c r="AD48" s="27" t="str">
        <x:v>2026-05-06T16:51:30</x:v>
      </x:c>
      <x:c r="AE48" s="28" t="n">
        <x:v>1163945</x:v>
      </x:c>
      <x:c r="AF48" s="27" t="str">
        <x:v>f8422862682a7ebc38a1be20cf9857ec436ba7822e3e2f415d3294d3a7486367</x:v>
      </x:c>
      <x:c r="AG48" s="27" t="str">
        <x:v>YES</x:v>
      </x:c>
    </x:row>
    <x:row r="49" ht="18" customHeight="1">
      <x:c r="A49" s="27" t="str">
        <x:v>LIT-20260814-048</x:v>
      </x:c>
      <x:c r="B49" s="27" t="str">
        <x:v>02-002</x:v>
      </x:c>
      <x:c r="C49" s="27" t="str">
        <x:v>en</x:v>
      </x:c>
      <x:c r="D49" s="27" t="str">
        <x:v>[02-002]_Haugh &amp; Hinze(2003)_A metalinguistic approach to deconstructing face and politeness in Chinese English and Japanese_체면메타언어·중국고유공손.pdf</x:v>
      </x:c>
      <x:c r="E49" s="27" t="str">
        <x:v>PDF</x:v>
      </x:c>
      <x:c r="F49" s="27" t="n">
        <x:v>31</x:v>
      </x:c>
      <x:c r="G49" s="27" t="str">
        <x:v>full</x:v>
      </x:c>
      <x:c r="H49" s="27" t="str">
        <x:v>native</x:v>
      </x:c>
      <x:c r="I49" s="27" t="str">
        <x:v>Haugh &amp; Hinze</x:v>
      </x:c>
      <x:c r="J49" s="27" t="str">
        <x:v>2003</x:v>
      </x:c>
      <x:c r="K49" s="27" t="str">
        <x:v>A metalinguistic approach to deconstructing face and politeness in Chinese English and Japanese</x:v>
      </x:c>
      <x:c r="L49" s="27" t="str">
        <x:v>체면메타언어·중국고유공손</x:v>
      </x:c>
      <x:c r="M49" s="27" t="str">
        <x:v>unverified</x:v>
      </x:c>
      <x:c r="N49" s="27" t="str">
        <x:v>M0</x:v>
      </x:c>
      <x:c r="O49" s="27" t="str"/>
      <x:c r="P49" s="27"/>
      <x:c r="Q49" s="27"/>
      <x:c r="R49" s="27"/>
      <x:c r="S49" s="27"/>
      <x:c r="T49" s="27"/>
      <x:c r="U49" s="27"/>
      <x:c r="V49" s="27" t="str">
        <x:f>IF(COUNTA(P49:U49)=0,"",SUM(P49:U49))</x:f>
      </x:c>
      <x:c r="W49" s="27" t="str">
        <x:v>02-002</x:v>
      </x:c>
      <x:c r="X49" s="27" t="str">
        <x:v>T1_candidate</x:v>
      </x:c>
      <x:c r="Y49" s="27" t="str">
        <x:v>owned</x:v>
      </x:c>
      <x:c r="Z49" s="27" t="str"/>
      <x:c r="AA49" s="27" t="str"/>
      <x:c r="AB49" s="27" t="str"/>
      <x:c r="AC49" s="27" t="str">
        <x:v>C:\PRAGMA_THESIS_LOCAL\02_문헌\학술문헌\[02-002]_Haugh &amp; Hinze(2003)_A metalinguistic approach to deconstructing face and politeness in Chinese English and Japanese_체면메타언어·중국고유공손.pdf</x:v>
      </x:c>
      <x:c r="AD49" s="27" t="str">
        <x:v>2026-07-26T12:13:17</x:v>
      </x:c>
      <x:c r="AE49" s="28" t="n">
        <x:v>361069</x:v>
      </x:c>
      <x:c r="AF49" s="27" t="str">
        <x:v>0d5f2e4b651b0844055ea81a287eee2592cfda294a6733d2595e5c008b386950</x:v>
      </x:c>
      <x:c r="AG49" s="27" t="str"/>
    </x:row>
    <x:row r="50" ht="18" customHeight="1">
      <x:c r="A50" s="27" t="str">
        <x:v>LIT-20260814-049</x:v>
      </x:c>
      <x:c r="B50" s="27" t="str">
        <x:v>02-002</x:v>
      </x:c>
      <x:c r="C50" s="27" t="str">
        <x:v>en</x:v>
      </x:c>
      <x:c r="D50" s="27" t="str">
        <x:v>[02-002]_Lee-Wong(1998)_Face Support Chinese Particles as Mitigators ba a ya and ne_어기조사완화·중국고유형식.pdf</x:v>
      </x:c>
      <x:c r="E50" s="27" t="str">
        <x:v>PDF</x:v>
      </x:c>
      <x:c r="F50" s="27" t="n">
        <x:v>18</x:v>
      </x:c>
      <x:c r="G50" s="27" t="str">
        <x:v>full</x:v>
      </x:c>
      <x:c r="H50" s="27" t="str">
        <x:v>native</x:v>
      </x:c>
      <x:c r="I50" s="27" t="str">
        <x:v>Lee-Wong</x:v>
      </x:c>
      <x:c r="J50" s="27" t="str">
        <x:v>1998</x:v>
      </x:c>
      <x:c r="K50" s="27" t="str">
        <x:v>Face Support Chinese Particles as Mitigators ba a ya and ne</x:v>
      </x:c>
      <x:c r="L50" s="27" t="str">
        <x:v>어기조사완화·중국고유형식</x:v>
      </x:c>
      <x:c r="M50" s="27" t="str">
        <x:v>unverified</x:v>
      </x:c>
      <x:c r="N50" s="27" t="str">
        <x:v>M0</x:v>
      </x:c>
      <x:c r="O50" s="27" t="str"/>
      <x:c r="P50" s="27"/>
      <x:c r="Q50" s="27"/>
      <x:c r="R50" s="27"/>
      <x:c r="S50" s="27"/>
      <x:c r="T50" s="27"/>
      <x:c r="U50" s="27"/>
      <x:c r="V50" s="27" t="str">
        <x:f>IF(COUNTA(P50:U50)=0,"",SUM(P50:U50))</x:f>
      </x:c>
      <x:c r="W50" s="27" t="str">
        <x:v>02-002</x:v>
      </x:c>
      <x:c r="X50" s="27" t="str">
        <x:v>T1_candidate</x:v>
      </x:c>
      <x:c r="Y50" s="27" t="str">
        <x:v>owned</x:v>
      </x:c>
      <x:c r="Z50" s="27" t="str"/>
      <x:c r="AA50" s="27" t="str"/>
      <x:c r="AB50" s="27" t="str"/>
      <x:c r="AC50" s="27" t="str">
        <x:v>C:\PRAGMA_THESIS_LOCAL\02_문헌\학술문헌\[02-002]_Lee-Wong(1998)_Face Support Chinese Particles as Mitigators ba a ya and ne_어기조사완화·중국고유형식.pdf</x:v>
      </x:c>
      <x:c r="AD50" s="27" t="str">
        <x:v>2026-07-26T14:38:14</x:v>
      </x:c>
      <x:c r="AE50" s="28" t="n">
        <x:v>659916</x:v>
      </x:c>
      <x:c r="AF50" s="27" t="str">
        <x:v>c95b6808208b9e96bbebced5e5213c311cb65a4333921170ea8387ae61c14928</x:v>
      </x:c>
      <x:c r="AG50" s="27" t="str"/>
    </x:row>
    <x:row r="51" ht="18" customHeight="1">
      <x:c r="A51" s="27" t="str">
        <x:v>LIT-20260814-050</x:v>
      </x:c>
      <x:c r="B51" s="27" t="str">
        <x:v>02-002</x:v>
      </x:c>
      <x:c r="C51" s="27" t="str">
        <x:v>en</x:v>
      </x:c>
      <x:c r="D51" s="27" t="str">
        <x:v>[02-002]_Mapson &amp; Major(2021)_Interpreters rapport and the role of familiarity_관계관리·통역.pdf</x:v>
      </x:c>
      <x:c r="E51" s="27" t="str">
        <x:v>PDF</x:v>
      </x:c>
      <x:c r="F51" s="27" t="n">
        <x:v>13</x:v>
      </x:c>
      <x:c r="G51" s="27" t="str">
        <x:v>full</x:v>
      </x:c>
      <x:c r="H51" s="27" t="str">
        <x:v>native</x:v>
      </x:c>
      <x:c r="I51" s="27" t="str">
        <x:v>Mapson &amp; Major</x:v>
      </x:c>
      <x:c r="J51" s="27" t="str">
        <x:v>2021</x:v>
      </x:c>
      <x:c r="K51" s="27" t="str">
        <x:v>Interpreters rapport and the role of familiarity</x:v>
      </x:c>
      <x:c r="L51" s="27" t="str">
        <x:v>관계관리·통역</x:v>
      </x:c>
      <x:c r="M51" s="27" t="str">
        <x:v>unverified</x:v>
      </x:c>
      <x:c r="N51" s="27" t="str">
        <x:v>M0</x:v>
      </x:c>
      <x:c r="O51" s="27" t="str"/>
      <x:c r="P51" s="27"/>
      <x:c r="Q51" s="27"/>
      <x:c r="R51" s="27"/>
      <x:c r="S51" s="27"/>
      <x:c r="T51" s="27"/>
      <x:c r="U51" s="27"/>
      <x:c r="V51" s="27" t="str">
        <x:f>IF(COUNTA(P51:U51)=0,"",SUM(P51:U51))</x:f>
      </x:c>
      <x:c r="W51" s="27" t="str">
        <x:v>02-002</x:v>
      </x:c>
      <x:c r="X51" s="27" t="str">
        <x:v>T1_candidate</x:v>
      </x:c>
      <x:c r="Y51" s="27" t="str">
        <x:v>owned</x:v>
      </x:c>
      <x:c r="Z51" s="27" t="str"/>
      <x:c r="AA51" s="27" t="str"/>
      <x:c r="AB51" s="27" t="str"/>
      <x:c r="AC51" s="27" t="str">
        <x:v>C:\PRAGMA_THESIS_LOCAL\02_문헌\학술문헌\[02-002]_Mapson &amp; Major(2021)_Interpreters rapport and the role of familiarity_관계관리·통역.pdf</x:v>
      </x:c>
      <x:c r="AD51" s="27" t="str">
        <x:v>2026-08-13T16:25:56</x:v>
      </x:c>
      <x:c r="AE51" s="28" t="n">
        <x:v>510003</x:v>
      </x:c>
      <x:c r="AF51" s="27" t="str">
        <x:v>fabacaaf15c1bdf7a29c2feb60af96d06ddcb36e05d0c642c39c3be8e85df28b</x:v>
      </x:c>
      <x:c r="AG51" s="27" t="str"/>
    </x:row>
    <x:row r="52" ht="18" customHeight="1">
      <x:c r="A52" s="27" t="str">
        <x:v>LIT-20260814-051</x:v>
      </x:c>
      <x:c r="B52" s="27" t="str">
        <x:v>02-002</x:v>
      </x:c>
      <x:c r="C52" s="27" t="str">
        <x:v>zh</x:v>
      </x:c>
      <x:c r="D52" s="27" t="str">
        <x:v>[02-002]_冉永平 等(n.d.)_基于人情原则的人际关系新模式_중국고유공손·인정원칙.pdf</x:v>
      </x:c>
      <x:c r="E52" s="27" t="str">
        <x:v>PDF</x:v>
      </x:c>
      <x:c r="F52" s="27" t="n">
        <x:v>13</x:v>
      </x:c>
      <x:c r="G52" s="27" t="str">
        <x:v>full</x:v>
      </x:c>
      <x:c r="H52" s="27" t="str">
        <x:v>native</x:v>
      </x:c>
      <x:c r="I52" s="27" t="str">
        <x:v>冉永平 等</x:v>
      </x:c>
      <x:c r="J52" s="27" t="str">
        <x:v>n.d.</x:v>
      </x:c>
      <x:c r="K52" s="27" t="str">
        <x:v>基于人情原则的人际关系新模式</x:v>
      </x:c>
      <x:c r="L52" s="27" t="str">
        <x:v>중국고유공손·인정원칙</x:v>
      </x:c>
      <x:c r="M52" s="27" t="str">
        <x:v>unverified</x:v>
      </x:c>
      <x:c r="N52" s="27" t="str">
        <x:v>M0</x:v>
      </x:c>
      <x:c r="O52" s="27" t="str"/>
      <x:c r="P52" s="27"/>
      <x:c r="Q52" s="27"/>
      <x:c r="R52" s="27"/>
      <x:c r="S52" s="27"/>
      <x:c r="T52" s="27"/>
      <x:c r="U52" s="27"/>
      <x:c r="V52" s="27" t="str">
        <x:f>IF(COUNTA(P52:U52)=0,"",SUM(P52:U52))</x:f>
      </x:c>
      <x:c r="W52" s="27" t="str">
        <x:v>02-002</x:v>
      </x:c>
      <x:c r="X52" s="27" t="str">
        <x:v>T1_candidate</x:v>
      </x:c>
      <x:c r="Y52" s="27" t="str">
        <x:v>owned</x:v>
      </x:c>
      <x:c r="Z52" s="27" t="str">
        <x:v>year_unverified</x:v>
      </x:c>
      <x:c r="AA52" s="27" t="str"/>
      <x:c r="AB52" s="27" t="str"/>
      <x:c r="AC52" s="27" t="str">
        <x:v>C:\PRAGMA_THESIS_LOCAL\02_문헌\학술문헌\[02-002]_冉永平 等(n.d.)_基于人情原则的人际关系新模式_중국고유공손·인정원칙.pdf</x:v>
      </x:c>
      <x:c r="AD52" s="27" t="str">
        <x:v>2026-08-14T11:43:58</x:v>
      </x:c>
      <x:c r="AE52" s="28" t="n">
        <x:v>184719</x:v>
      </x:c>
      <x:c r="AF52" s="27" t="str">
        <x:v>bdbec50bc23e191da9e0acc94783ecd82c772d02aa919b11e19874252bef342b</x:v>
      </x:c>
      <x:c r="AG52" s="27" t="str"/>
    </x:row>
    <x:row r="53" ht="18" customHeight="1">
      <x:c r="A53" s="27" t="str">
        <x:v>LIT-20260814-052</x:v>
      </x:c>
      <x:c r="B53" s="27" t="str">
        <x:v>02-002</x:v>
      </x:c>
      <x:c r="C53" s="27" t="str">
        <x:v>zh</x:v>
      </x:c>
      <x:c r="D53" s="27" t="str">
        <x:v>[02-002]_冉永平(2018)_人际语用学视角下人际关系管理的人情原则_중국고유공손·인정원칙.pdf</x:v>
      </x:c>
      <x:c r="E53" s="27" t="str">
        <x:v>PDF</x:v>
      </x:c>
      <x:c r="F53" s="27" t="n">
        <x:v>11</x:v>
      </x:c>
      <x:c r="G53" s="27" t="str">
        <x:v>full</x:v>
      </x:c>
      <x:c r="H53" s="27" t="str">
        <x:v>native</x:v>
      </x:c>
      <x:c r="I53" s="27" t="str">
        <x:v>冉永平</x:v>
      </x:c>
      <x:c r="J53" s="27" t="str">
        <x:v>2018</x:v>
      </x:c>
      <x:c r="K53" s="27" t="str">
        <x:v>人际语用学视角下人际关系管理的人情原则</x:v>
      </x:c>
      <x:c r="L53" s="27" t="str">
        <x:v>중국고유공손·인정원칙</x:v>
      </x:c>
      <x:c r="M53" s="27" t="str">
        <x:v>unverified</x:v>
      </x:c>
      <x:c r="N53" s="27" t="str">
        <x:v>M0</x:v>
      </x:c>
      <x:c r="O53" s="27" t="str"/>
      <x:c r="P53" s="27"/>
      <x:c r="Q53" s="27"/>
      <x:c r="R53" s="27"/>
      <x:c r="S53" s="27"/>
      <x:c r="T53" s="27"/>
      <x:c r="U53" s="27"/>
      <x:c r="V53" s="27" t="str">
        <x:f>IF(COUNTA(P53:U53)=0,"",SUM(P53:U53))</x:f>
      </x:c>
      <x:c r="W53" s="27" t="str">
        <x:v>02-002</x:v>
      </x:c>
      <x:c r="X53" s="27" t="str">
        <x:v>T1_candidate</x:v>
      </x:c>
      <x:c r="Y53" s="27" t="str">
        <x:v>owned</x:v>
      </x:c>
      <x:c r="Z53" s="27" t="str"/>
      <x:c r="AA53" s="27" t="str"/>
      <x:c r="AB53" s="27" t="str"/>
      <x:c r="AC53" s="27" t="str">
        <x:v>C:\PRAGMA_THESIS_LOCAL\02_문헌\학술문헌\[02-002]_冉永平(2018)_人际语用学视角下人际关系管理的人情原则_중국고유공손·인정원칙.pdf</x:v>
      </x:c>
      <x:c r="AD53" s="27" t="str">
        <x:v>2026-08-14T11:43:33</x:v>
      </x:c>
      <x:c r="AE53" s="28" t="n">
        <x:v>181755</x:v>
      </x:c>
      <x:c r="AF53" s="27" t="str">
        <x:v>065532d67abdd37db2511b2405ab7875f5192e8bcab7e8a939ebdd5853326930</x:v>
      </x:c>
      <x:c r="AG53" s="27" t="str"/>
    </x:row>
    <x:row r="54" ht="18" customHeight="1">
      <x:c r="A54" s="27" t="str">
        <x:v>LIT-20260814-053</x:v>
      </x:c>
      <x:c r="B54" s="27" t="str">
        <x:v>02-002</x:v>
      </x:c>
      <x:c r="C54" s="27" t="str">
        <x:v>zh</x:v>
      </x:c>
      <x:c r="D54" s="27" t="str">
        <x:v>[02-002]_曹春春(1998)_礼貌准则与语用失误英汉语用失误现象比较研究_화용실패2유형·사회화용.pdf</x:v>
      </x:c>
      <x:c r="E54" s="27" t="str">
        <x:v>PDF</x:v>
      </x:c>
      <x:c r="F54" s="27" t="n">
        <x:v>5</x:v>
      </x:c>
      <x:c r="G54" s="27" t="str">
        <x:v>full</x:v>
      </x:c>
      <x:c r="H54" s="27" t="str">
        <x:v>native</x:v>
      </x:c>
      <x:c r="I54" s="27" t="str">
        <x:v>曹春春</x:v>
      </x:c>
      <x:c r="J54" s="27" t="str">
        <x:v>1998</x:v>
      </x:c>
      <x:c r="K54" s="27" t="str">
        <x:v>礼貌准则与语用失误英汉语用失误现象比较研究</x:v>
      </x:c>
      <x:c r="L54" s="27" t="str">
        <x:v>화용실패2유형·사회화용</x:v>
      </x:c>
      <x:c r="M54" s="27" t="str">
        <x:v>unverified</x:v>
      </x:c>
      <x:c r="N54" s="27" t="str">
        <x:v>M0</x:v>
      </x:c>
      <x:c r="O54" s="27" t="str"/>
      <x:c r="P54" s="27"/>
      <x:c r="Q54" s="27"/>
      <x:c r="R54" s="27"/>
      <x:c r="S54" s="27"/>
      <x:c r="T54" s="27"/>
      <x:c r="U54" s="27"/>
      <x:c r="V54" s="27" t="str">
        <x:f>IF(COUNTA(P54:U54)=0,"",SUM(P54:U54))</x:f>
      </x:c>
      <x:c r="W54" s="27" t="str">
        <x:v>02-002</x:v>
      </x:c>
      <x:c r="X54" s="27" t="str">
        <x:v>T1_candidate</x:v>
      </x:c>
      <x:c r="Y54" s="27" t="str">
        <x:v>owned</x:v>
      </x:c>
      <x:c r="Z54" s="27" t="str"/>
      <x:c r="AA54" s="27" t="str"/>
      <x:c r="AB54" s="27" t="str"/>
      <x:c r="AC54" s="27" t="str">
        <x:v>C:\PRAGMA_THESIS_LOCAL\02_문헌\학술문헌\[02-002]_曹春春(1998)_礼貌准则与语用失误英汉语用失误现象比较研究_화용실패2유형·사회화용.pdf</x:v>
      </x:c>
      <x:c r="AD54" s="27" t="str">
        <x:v>2026-08-14T12:12:33</x:v>
      </x:c>
      <x:c r="AE54" s="28" t="n">
        <x:v>254490</x:v>
      </x:c>
      <x:c r="AF54" s="27" t="str">
        <x:v>20c7177e9e45ef63046750233bb1d60134432e8e950efcaab2ed49b093edc071</x:v>
      </x:c>
      <x:c r="AG54" s="27" t="str"/>
    </x:row>
    <x:row r="55" ht="18" customHeight="1">
      <x:c r="A55" s="27" t="str">
        <x:v>LIT-20260814-054</x:v>
      </x:c>
      <x:c r="B55" s="27" t="str">
        <x:v>02-002</x:v>
      </x:c>
      <x:c r="C55" s="27" t="str">
        <x:v>zh</x:v>
      </x:c>
      <x:c r="D55" s="27" t="str">
        <x:v>[02-002]_赵林森 等(2024)_人际语用学视域下基于人情调控的情面共建研究_중국고유공손·정면공동구축.pdf</x:v>
      </x:c>
      <x:c r="E55" s="27" t="str">
        <x:v>PDF</x:v>
      </x:c>
      <x:c r="F55" s="27" t="n">
        <x:v>10</x:v>
      </x:c>
      <x:c r="G55" s="27" t="str">
        <x:v>full</x:v>
      </x:c>
      <x:c r="H55" s="27" t="str">
        <x:v>native</x:v>
      </x:c>
      <x:c r="I55" s="27" t="str">
        <x:v>赵林森 等</x:v>
      </x:c>
      <x:c r="J55" s="27" t="str">
        <x:v>2024</x:v>
      </x:c>
      <x:c r="K55" s="27" t="str">
        <x:v>人际语用学视域下基于人情调控的情面共建研究</x:v>
      </x:c>
      <x:c r="L55" s="27" t="str">
        <x:v>중국고유공손·정면공동구축</x:v>
      </x:c>
      <x:c r="M55" s="27" t="str">
        <x:v>unverified</x:v>
      </x:c>
      <x:c r="N55" s="27" t="str">
        <x:v>M0</x:v>
      </x:c>
      <x:c r="O55" s="27" t="str"/>
      <x:c r="P55" s="27"/>
      <x:c r="Q55" s="27"/>
      <x:c r="R55" s="27"/>
      <x:c r="S55" s="27"/>
      <x:c r="T55" s="27"/>
      <x:c r="U55" s="27"/>
      <x:c r="V55" s="27" t="str">
        <x:f>IF(COUNTA(P55:U55)=0,"",SUM(P55:U55))</x:f>
      </x:c>
      <x:c r="W55" s="27" t="str">
        <x:v>02-002</x:v>
      </x:c>
      <x:c r="X55" s="27" t="str">
        <x:v>T1_candidate</x:v>
      </x:c>
      <x:c r="Y55" s="27" t="str">
        <x:v>owned</x:v>
      </x:c>
      <x:c r="Z55" s="27" t="str"/>
      <x:c r="AA55" s="27" t="str"/>
      <x:c r="AB55" s="27" t="str"/>
      <x:c r="AC55" s="27" t="str">
        <x:v>C:\PRAGMA_THESIS_LOCAL\02_문헌\학술문헌\[02-002]_赵林森 等(2024)_人际语用学视域下基于人情调控的情面共建研究_중국고유공손·정면공동구축.pdf</x:v>
      </x:c>
      <x:c r="AD55" s="27" t="str">
        <x:v>2026-08-14T11:44:26</x:v>
      </x:c>
      <x:c r="AE55" s="28" t="n">
        <x:v>2227108</x:v>
      </x:c>
      <x:c r="AF55" s="27" t="str">
        <x:v>c187035a5b5f6d0b72b4af19b6e644bd83ba7d64e2c588df448dfb6eef57b115</x:v>
      </x:c>
      <x:c r="AG55" s="27" t="str"/>
    </x:row>
    <x:row r="56" ht="18" customHeight="1">
      <x:c r="A56" s="27" t="str">
        <x:v>LIT-20260814-055</x:v>
      </x:c>
      <x:c r="B56" s="27" t="str">
        <x:v>02-002</x:v>
      </x:c>
      <x:c r="C56" s="27" t="str">
        <x:v>ko</x:v>
      </x:c>
      <x:c r="D56" s="27" t="str">
        <x:v>[02-002]_곽자랑 외(2018)_요청 부담에 따른 공손표현의 화용적 효과_요청부담·공손효과.pdf</x:v>
      </x:c>
      <x:c r="E56" s="27" t="str">
        <x:v>PDF</x:v>
      </x:c>
      <x:c r="F56" s="27" t="n">
        <x:v>28</x:v>
      </x:c>
      <x:c r="G56" s="27" t="str">
        <x:v>full</x:v>
      </x:c>
      <x:c r="H56" s="27" t="str">
        <x:v>native</x:v>
      </x:c>
      <x:c r="I56" s="27" t="str">
        <x:v>곽자랑 외</x:v>
      </x:c>
      <x:c r="J56" s="27" t="str">
        <x:v>2018</x:v>
      </x:c>
      <x:c r="K56" s="27" t="str">
        <x:v>요청 부담에 따른 공손표현의 화용적 효과</x:v>
      </x:c>
      <x:c r="L56" s="27" t="str">
        <x:v>요청부담·공손효과</x:v>
      </x:c>
      <x:c r="M56" s="27" t="str">
        <x:v>unverified</x:v>
      </x:c>
      <x:c r="N56" s="27" t="str">
        <x:v>M0</x:v>
      </x:c>
      <x:c r="O56" s="27" t="str"/>
      <x:c r="P56" s="27"/>
      <x:c r="Q56" s="27"/>
      <x:c r="R56" s="27"/>
      <x:c r="S56" s="27"/>
      <x:c r="T56" s="27"/>
      <x:c r="U56" s="27"/>
      <x:c r="V56" s="27" t="str">
        <x:f>IF(COUNTA(P56:U56)=0,"",SUM(P56:U56))</x:f>
      </x:c>
      <x:c r="W56" s="27" t="str">
        <x:v>02-002</x:v>
      </x:c>
      <x:c r="X56" s="27" t="str">
        <x:v>T1_candidate</x:v>
      </x:c>
      <x:c r="Y56" s="27" t="str">
        <x:v>owned</x:v>
      </x:c>
      <x:c r="Z56" s="27" t="str"/>
      <x:c r="AA56" s="27" t="str"/>
      <x:c r="AB56" s="27" t="str"/>
      <x:c r="AC56" s="27" t="str">
        <x:v>C:\PRAGMA_THESIS_LOCAL\02_문헌\학술문헌\[02-002]_곽자랑 외(2018)_요청 부담에 따른 공손표현의 화용적 효과_요청부담·공손효과.pdf</x:v>
      </x:c>
      <x:c r="AD56" s="27" t="str">
        <x:v>2026-08-13T20:32:16</x:v>
      </x:c>
      <x:c r="AE56" s="28" t="n">
        <x:v>726200</x:v>
      </x:c>
      <x:c r="AF56" s="27" t="str">
        <x:v>b211e16ae287e3e97847a0ef86c48b99dba594dd71f2a4432dd01c4e64e7a3cf</x:v>
      </x:c>
      <x:c r="AG56" s="27" t="str"/>
    </x:row>
    <x:row r="57" ht="18" customHeight="1">
      <x:c r="A57" s="27" t="str">
        <x:v>LIT-20260814-056</x:v>
      </x:c>
      <x:c r="B57" s="27" t="str">
        <x:v>02-002</x:v>
      </x:c>
      <x:c r="C57" s="27" t="str">
        <x:v>ko</x:v>
      </x:c>
      <x:c r="D57" s="27" t="str">
        <x:v>[02-002]_김귀화 외(2022)_사회적 맥락 체면 위협 행위와 사과화행 간의 상관성에 관한 연구_한중대조·사과화행.pdf</x:v>
      </x:c>
      <x:c r="E57" s="27" t="str">
        <x:v>PDF</x:v>
      </x:c>
      <x:c r="F57" s="27" t="n">
        <x:v>28</x:v>
      </x:c>
      <x:c r="G57" s="27" t="str">
        <x:v>full</x:v>
      </x:c>
      <x:c r="H57" s="27" t="str">
        <x:v>native</x:v>
      </x:c>
      <x:c r="I57" s="27" t="str">
        <x:v>김귀화 외</x:v>
      </x:c>
      <x:c r="J57" s="27" t="str">
        <x:v>2022</x:v>
      </x:c>
      <x:c r="K57" s="27" t="str">
        <x:v>사회적 맥락 체면 위협 행위와 사과화행 간의 상관성에 관한 연구</x:v>
      </x:c>
      <x:c r="L57" s="27" t="str">
        <x:v>한중대조·사과화행</x:v>
      </x:c>
      <x:c r="M57" s="27" t="str">
        <x:v>unverified</x:v>
      </x:c>
      <x:c r="N57" s="27" t="str">
        <x:v>M0</x:v>
      </x:c>
      <x:c r="O57" s="27" t="str"/>
      <x:c r="P57" s="27"/>
      <x:c r="Q57" s="27"/>
      <x:c r="R57" s="27"/>
      <x:c r="S57" s="27"/>
      <x:c r="T57" s="27"/>
      <x:c r="U57" s="27"/>
      <x:c r="V57" s="27" t="str">
        <x:f>IF(COUNTA(P57:U57)=0,"",SUM(P57:U57))</x:f>
      </x:c>
      <x:c r="W57" s="27" t="str">
        <x:v>02-002</x:v>
      </x:c>
      <x:c r="X57" s="27" t="str">
        <x:v>T1_candidate</x:v>
      </x:c>
      <x:c r="Y57" s="27" t="str">
        <x:v>owned</x:v>
      </x:c>
      <x:c r="Z57" s="27" t="str"/>
      <x:c r="AA57" s="27" t="str"/>
      <x:c r="AB57" s="27" t="str"/>
      <x:c r="AC57" s="27" t="str">
        <x:v>C:\PRAGMA_THESIS_LOCAL\02_문헌\학술문헌\[02-002]_김귀화 외(2022)_사회적 맥락 체면 위협 행위와 사과화행 간의 상관성에 관한 연구_한중대조·사과화행.pdf</x:v>
      </x:c>
      <x:c r="AD57" s="27" t="str">
        <x:v>2026-08-13T20:58:55</x:v>
      </x:c>
      <x:c r="AE57" s="28" t="n">
        <x:v>914068</x:v>
      </x:c>
      <x:c r="AF57" s="27" t="str">
        <x:v>90e021195f4780dcff73cafd67913d04e9189771c8014d2674477af4b2cd307b</x:v>
      </x:c>
      <x:c r="AG57" s="27" t="str"/>
    </x:row>
    <x:row r="58" ht="18" customHeight="1">
      <x:c r="A58" s="27" t="str">
        <x:v>LIT-20260814-057</x:v>
      </x:c>
      <x:c r="B58" s="27" t="str">
        <x:v>02-002</x:v>
      </x:c>
      <x:c r="C58" s="27" t="str">
        <x:v>ko</x:v>
      </x:c>
      <x:c r="D58" s="27" t="str">
        <x:v>[02-002]_왕중기 외(2023)_한·중 모어 화자의 거절 부담도 비교 연구_한중대조·거절부담도.pdf</x:v>
      </x:c>
      <x:c r="E58" s="27" t="str">
        <x:v>PDF</x:v>
      </x:c>
      <x:c r="F58" s="27" t="n">
        <x:v>29</x:v>
      </x:c>
      <x:c r="G58" s="27" t="str">
        <x:v>full</x:v>
      </x:c>
      <x:c r="H58" s="27" t="str">
        <x:v>native</x:v>
      </x:c>
      <x:c r="I58" s="27" t="str">
        <x:v>왕중기 외</x:v>
      </x:c>
      <x:c r="J58" s="27" t="str">
        <x:v>2023</x:v>
      </x:c>
      <x:c r="K58" s="27" t="str">
        <x:v>한·중 모어 화자의 거절 부담도 비교 연구</x:v>
      </x:c>
      <x:c r="L58" s="27" t="str">
        <x:v>한중대조·거절부담도</x:v>
      </x:c>
      <x:c r="M58" s="27" t="str">
        <x:v>unverified</x:v>
      </x:c>
      <x:c r="N58" s="27" t="str">
        <x:v>M0</x:v>
      </x:c>
      <x:c r="O58" s="27" t="str"/>
      <x:c r="P58" s="27"/>
      <x:c r="Q58" s="27"/>
      <x:c r="R58" s="27"/>
      <x:c r="S58" s="27"/>
      <x:c r="T58" s="27"/>
      <x:c r="U58" s="27"/>
      <x:c r="V58" s="27" t="str">
        <x:f>IF(COUNTA(P58:U58)=0,"",SUM(P58:U58))</x:f>
      </x:c>
      <x:c r="W58" s="27" t="str">
        <x:v>02-002</x:v>
      </x:c>
      <x:c r="X58" s="27" t="str">
        <x:v>T1_candidate</x:v>
      </x:c>
      <x:c r="Y58" s="27" t="str">
        <x:v>owned</x:v>
      </x:c>
      <x:c r="Z58" s="27" t="str"/>
      <x:c r="AA58" s="27" t="str"/>
      <x:c r="AB58" s="27" t="str"/>
      <x:c r="AC58" s="27" t="str">
        <x:v>C:\PRAGMA_THESIS_LOCAL\02_문헌\학술문헌\[02-002]_왕중기 외(2023)_한·중 모어 화자의 거절 부담도 비교 연구_한중대조·거절부담도.pdf</x:v>
      </x:c>
      <x:c r="AD58" s="27" t="str">
        <x:v>2026-08-13T20:54:10</x:v>
      </x:c>
      <x:c r="AE58" s="28" t="n">
        <x:v>666763</x:v>
      </x:c>
      <x:c r="AF58" s="27" t="str">
        <x:v>ebca6ec553bf71424700453305babe086ef821aee41e7ef62e205019c8c50215</x:v>
      </x:c>
      <x:c r="AG58" s="27" t="str"/>
    </x:row>
    <x:row r="59" ht="18" customHeight="1">
      <x:c r="A59" s="27" t="str">
        <x:v>LIT-20260814-058</x:v>
      </x:c>
      <x:c r="B59" s="27" t="str">
        <x:v>02-003</x:v>
      </x:c>
      <x:c r="C59" s="27" t="str">
        <x:v>en</x:v>
      </x:c>
      <x:c r="D59" s="27" t="str">
        <x:v>[02-003]_Blum-Kulka(1987)_Indirectness and Politeness in Requests Same or Different_직접성≠공손·요청화행.pdf</x:v>
      </x:c>
      <x:c r="E59" s="27" t="str">
        <x:v>PDF</x:v>
      </x:c>
      <x:c r="F59" s="27" t="n">
        <x:v>16</x:v>
      </x:c>
      <x:c r="G59" s="27" t="str">
        <x:v>full</x:v>
      </x:c>
      <x:c r="H59" s="27" t="str">
        <x:v>native</x:v>
      </x:c>
      <x:c r="I59" s="27" t="str">
        <x:v>Blum-Kulka</x:v>
      </x:c>
      <x:c r="J59" s="27" t="str">
        <x:v>1987</x:v>
      </x:c>
      <x:c r="K59" s="27" t="str">
        <x:v>Indirectness and Politeness in Requests Same or Different</x:v>
      </x:c>
      <x:c r="L59" s="27" t="str">
        <x:v>직접성≠공손·요청화행</x:v>
      </x:c>
      <x:c r="M59" s="27" t="str">
        <x:v>unverified</x:v>
      </x:c>
      <x:c r="N59" s="27" t="str">
        <x:v>M0</x:v>
      </x:c>
      <x:c r="O59" s="27" t="str"/>
      <x:c r="P59" s="27"/>
      <x:c r="Q59" s="27"/>
      <x:c r="R59" s="27"/>
      <x:c r="S59" s="27"/>
      <x:c r="T59" s="27"/>
      <x:c r="U59" s="27"/>
      <x:c r="V59" s="27" t="str">
        <x:f>IF(COUNTA(P59:U59)=0,"",SUM(P59:U59))</x:f>
      </x:c>
      <x:c r="W59" s="27" t="str">
        <x:v>02-003</x:v>
      </x:c>
      <x:c r="X59" s="27" t="str">
        <x:v>T1_candidate</x:v>
      </x:c>
      <x:c r="Y59" s="27" t="str">
        <x:v>owned</x:v>
      </x:c>
      <x:c r="Z59" s="27" t="str"/>
      <x:c r="AA59" s="27" t="str"/>
      <x:c r="AB59" s="27" t="str"/>
      <x:c r="AC59" s="27" t="str">
        <x:v>C:\PRAGMA_THESIS_LOCAL\02_문헌\학술문헌\[02-003]_Blum-Kulka(1987)_Indirectness and Politeness in Requests Same or Different_직접성≠공손·요청화행.pdf</x:v>
      </x:c>
      <x:c r="AD59" s="27" t="str">
        <x:v>2026-03-10T22:42:36</x:v>
      </x:c>
      <x:c r="AE59" s="28" t="n">
        <x:v>1306403</x:v>
      </x:c>
      <x:c r="AF59" s="27" t="str">
        <x:v>05b6e08412f30236310d0754f089457085450f3fec9fa92fe735e4b4f41b95b5</x:v>
      </x:c>
      <x:c r="AG59" s="27" t="str"/>
    </x:row>
    <x:row r="60" ht="18" customHeight="1">
      <x:c r="A60" s="27" t="str">
        <x:v>LIT-20260814-059</x:v>
      </x:c>
      <x:c r="B60" s="27" t="str">
        <x:v>02-003</x:v>
      </x:c>
      <x:c r="C60" s="27" t="str">
        <x:v>en</x:v>
      </x:c>
      <x:c r="D60" s="27" t="str">
        <x:v>[02-003]_Chen &amp; Wang(2021)_First order and second order indirectness in Korean and Chinese_한중대조·간접성.pdf</x:v>
      </x:c>
      <x:c r="E60" s="27" t="str">
        <x:v>PDF</x:v>
      </x:c>
      <x:c r="F60" s="27" t="n">
        <x:v>14</x:v>
      </x:c>
      <x:c r="G60" s="27" t="str">
        <x:v>full</x:v>
      </x:c>
      <x:c r="H60" s="27" t="str">
        <x:v>native</x:v>
      </x:c>
      <x:c r="I60" s="27" t="str">
        <x:v>Chen &amp; Wang</x:v>
      </x:c>
      <x:c r="J60" s="27" t="str">
        <x:v>2021</x:v>
      </x:c>
      <x:c r="K60" s="27" t="str">
        <x:v>First order and second order indirectness in Korean and Chinese</x:v>
      </x:c>
      <x:c r="L60" s="27" t="str">
        <x:v>한중대조·간접성</x:v>
      </x:c>
      <x:c r="M60" s="27" t="str">
        <x:v>unverified</x:v>
      </x:c>
      <x:c r="N60" s="27" t="str">
        <x:v>M0</x:v>
      </x:c>
      <x:c r="O60" s="27" t="str"/>
      <x:c r="P60" s="27"/>
      <x:c r="Q60" s="27"/>
      <x:c r="R60" s="27"/>
      <x:c r="S60" s="27"/>
      <x:c r="T60" s="27"/>
      <x:c r="U60" s="27"/>
      <x:c r="V60" s="27" t="str">
        <x:f>IF(COUNTA(P60:U60)=0,"",SUM(P60:U60))</x:f>
      </x:c>
      <x:c r="W60" s="27" t="str">
        <x:v>02-003</x:v>
      </x:c>
      <x:c r="X60" s="27" t="str">
        <x:v>T1_candidate</x:v>
      </x:c>
      <x:c r="Y60" s="27" t="str">
        <x:v>owned</x:v>
      </x:c>
      <x:c r="Z60" s="27" t="str"/>
      <x:c r="AA60" s="27" t="str"/>
      <x:c r="AB60" s="27" t="str"/>
      <x:c r="AC60" s="27" t="str">
        <x:v>C:\PRAGMA_THESIS_LOCAL\02_문헌\학술문헌\[02-003]_Chen &amp; Wang(2021)_First order and second order indirectness in Korean and Chinese_한중대조·간접성.pdf</x:v>
      </x:c>
      <x:c r="AD60" s="27" t="str">
        <x:v>2026-08-13T16:14:57</x:v>
      </x:c>
      <x:c r="AE60" s="28" t="n">
        <x:v>462439</x:v>
      </x:c>
      <x:c r="AF60" s="27" t="str">
        <x:v>cc8eabeba7eb276b3b81999323212a4341388fb3262fe018405292a2d1cdf1d2</x:v>
      </x:c>
      <x:c r="AG60" s="27" t="str"/>
    </x:row>
    <x:row r="61" ht="18" customHeight="1">
      <x:c r="A61" s="27" t="str">
        <x:v>LIT-20260814-060</x:v>
      </x:c>
      <x:c r="B61" s="27" t="str">
        <x:v>02-003</x:v>
      </x:c>
      <x:c r="C61" s="27" t="str">
        <x:v>en</x:v>
      </x:c>
      <x:c r="D61" s="27" t="str">
        <x:v>[02-003]_Chen(2017)_Speech Acts Across Cultures Evaluations and Refusals in Korean and Chinese_한중대조·거절화행.pdf</x:v>
      </x:c>
      <x:c r="E61" s="27" t="str">
        <x:v>PDF</x:v>
      </x:c>
      <x:c r="F61" s="27" t="n">
        <x:v>211</x:v>
      </x:c>
      <x:c r="G61" s="27" t="str">
        <x:v>full</x:v>
      </x:c>
      <x:c r="H61" s="27" t="str">
        <x:v>native</x:v>
      </x:c>
      <x:c r="I61" s="27" t="str">
        <x:v>Chen</x:v>
      </x:c>
      <x:c r="J61" s="27" t="str">
        <x:v>2017</x:v>
      </x:c>
      <x:c r="K61" s="27" t="str">
        <x:v>Speech Acts Across Cultures Evaluations and Refusals in Korean and Chinese</x:v>
      </x:c>
      <x:c r="L61" s="27" t="str">
        <x:v>한중대조·거절화행</x:v>
      </x:c>
      <x:c r="M61" s="27" t="str">
        <x:v>unverified</x:v>
      </x:c>
      <x:c r="N61" s="27" t="str">
        <x:v>M0</x:v>
      </x:c>
      <x:c r="O61" s="27" t="str"/>
      <x:c r="P61" s="27"/>
      <x:c r="Q61" s="27"/>
      <x:c r="R61" s="27"/>
      <x:c r="S61" s="27"/>
      <x:c r="T61" s="27"/>
      <x:c r="U61" s="27"/>
      <x:c r="V61" s="27" t="str">
        <x:f>IF(COUNTA(P61:U61)=0,"",SUM(P61:U61))</x:f>
      </x:c>
      <x:c r="W61" s="27" t="str">
        <x:v>02-003</x:v>
      </x:c>
      <x:c r="X61" s="27" t="str">
        <x:v>T1_candidate</x:v>
      </x:c>
      <x:c r="Y61" s="27" t="str">
        <x:v>owned</x:v>
      </x:c>
      <x:c r="Z61" s="27" t="str"/>
      <x:c r="AA61" s="27" t="str"/>
      <x:c r="AB61" s="27" t="str"/>
      <x:c r="AC61" s="27" t="str">
        <x:v>C:\PRAGMA_THESIS_LOCAL\02_문헌\학술문헌\[02-003]_Chen(2017)_Speech Acts Across Cultures Evaluations and Refusals in Korean and Chinese_한중대조·거절화행.pdf</x:v>
      </x:c>
      <x:c r="AD61" s="27" t="str">
        <x:v>2026-05-06T11:21:20</x:v>
      </x:c>
      <x:c r="AE61" s="28" t="n">
        <x:v>2532677</x:v>
      </x:c>
      <x:c r="AF61" s="27" t="str">
        <x:v>f1e16d986c40c892e9cceb59b45ee99cf67b546662198c4ea4d612a6760a4d37</x:v>
      </x:c>
      <x:c r="AG61" s="27" t="str"/>
    </x:row>
    <x:row r="62" ht="18" customHeight="1">
      <x:c r="A62" s="27" t="str">
        <x:v>LIT-20260814-061</x:v>
      </x:c>
      <x:c r="B62" s="27" t="str">
        <x:v>02-003</x:v>
      </x:c>
      <x:c r="C62" s="27" t="str">
        <x:v>en</x:v>
      </x:c>
      <x:c r="D62" s="27" t="str">
        <x:v>[02-003]_Chen(2022)_The pragmatic resistance of Chinese learners of Korean_화용저항·원어민규범.pdf</x:v>
      </x:c>
      <x:c r="E62" s="27" t="str">
        <x:v>PDF</x:v>
      </x:c>
      <x:c r="F62" s="27" t="n">
        <x:v>24</x:v>
      </x:c>
      <x:c r="G62" s="27" t="str">
        <x:v>full</x:v>
      </x:c>
      <x:c r="H62" s="27" t="str">
        <x:v>native</x:v>
      </x:c>
      <x:c r="I62" s="27" t="str">
        <x:v>Chen</x:v>
      </x:c>
      <x:c r="J62" s="27" t="str">
        <x:v>2022</x:v>
      </x:c>
      <x:c r="K62" s="27" t="str">
        <x:v>The pragmatic resistance of Chinese learners of Korean</x:v>
      </x:c>
      <x:c r="L62" s="27" t="str">
        <x:v>화용저항·원어민규범</x:v>
      </x:c>
      <x:c r="M62" s="27" t="str">
        <x:v>unverified</x:v>
      </x:c>
      <x:c r="N62" s="27" t="str">
        <x:v>M0</x:v>
      </x:c>
      <x:c r="O62" s="27" t="str"/>
      <x:c r="P62" s="27"/>
      <x:c r="Q62" s="27"/>
      <x:c r="R62" s="27"/>
      <x:c r="S62" s="27"/>
      <x:c r="T62" s="27"/>
      <x:c r="U62" s="27"/>
      <x:c r="V62" s="27" t="str">
        <x:f>IF(COUNTA(P62:U62)=0,"",SUM(P62:U62))</x:f>
      </x:c>
      <x:c r="W62" s="27" t="str">
        <x:v>02-003</x:v>
      </x:c>
      <x:c r="X62" s="27" t="str">
        <x:v>T1_candidate</x:v>
      </x:c>
      <x:c r="Y62" s="27" t="str">
        <x:v>owned</x:v>
      </x:c>
      <x:c r="Z62" s="27" t="str"/>
      <x:c r="AA62" s="27" t="str"/>
      <x:c r="AB62" s="27" t="str"/>
      <x:c r="AC62" s="27" t="str">
        <x:v>C:\PRAGMA_THESIS_LOCAL\02_문헌\학술문헌\[02-003]_Chen(2022)_The pragmatic resistance of Chinese learners of Korean_화용저항·원어민규범.pdf</x:v>
      </x:c>
      <x:c r="AD62" s="27" t="str">
        <x:v>2026-07-26T14:40:54</x:v>
      </x:c>
      <x:c r="AE62" s="28" t="n">
        <x:v>669024</x:v>
      </x:c>
      <x:c r="AF62" s="27" t="str">
        <x:v>84a02bc96ba5e0e198d9ec5ebea03017c8a004626723243b94bbad01269f99fe</x:v>
      </x:c>
      <x:c r="AG62" s="27" t="str"/>
    </x:row>
    <x:row r="63" ht="18" customHeight="1">
      <x:c r="A63" s="27" t="str">
        <x:v>LIT-20260814-062</x:v>
      </x:c>
      <x:c r="B63" s="27" t="str">
        <x:v>02-003</x:v>
      </x:c>
      <x:c r="C63" s="27" t="str">
        <x:v>en</x:v>
      </x:c>
      <x:c r="D63" s="27" t="str">
        <x:v>[02-003]_Hong(2011)_Refusals in Chinese How Do L1 and L2 Differ_거절화행·L1L2대조.pdf</x:v>
      </x:c>
      <x:c r="E63" s="27" t="str">
        <x:v>PDF</x:v>
      </x:c>
      <x:c r="F63" s="27" t="n">
        <x:v>15</x:v>
      </x:c>
      <x:c r="G63" s="27" t="str">
        <x:v>full</x:v>
      </x:c>
      <x:c r="H63" s="27" t="str">
        <x:v>native</x:v>
      </x:c>
      <x:c r="I63" s="27" t="str">
        <x:v>Hong</x:v>
      </x:c>
      <x:c r="J63" s="27" t="str">
        <x:v>2011</x:v>
      </x:c>
      <x:c r="K63" s="27" t="str">
        <x:v>Refusals in Chinese How Do L1 and L2 Differ</x:v>
      </x:c>
      <x:c r="L63" s="27" t="str">
        <x:v>거절화행·L1L2대조</x:v>
      </x:c>
      <x:c r="M63" s="27" t="str">
        <x:v>unverified</x:v>
      </x:c>
      <x:c r="N63" s="27" t="str">
        <x:v>M0</x:v>
      </x:c>
      <x:c r="O63" s="27" t="str"/>
      <x:c r="P63" s="27"/>
      <x:c r="Q63" s="27"/>
      <x:c r="R63" s="27"/>
      <x:c r="S63" s="27"/>
      <x:c r="T63" s="27"/>
      <x:c r="U63" s="27"/>
      <x:c r="V63" s="27" t="str">
        <x:f>IF(COUNTA(P63:U63)=0,"",SUM(P63:U63))</x:f>
      </x:c>
      <x:c r="W63" s="27" t="str">
        <x:v>02-003</x:v>
      </x:c>
      <x:c r="X63" s="27" t="str">
        <x:v>T1_candidate</x:v>
      </x:c>
      <x:c r="Y63" s="27" t="str">
        <x:v>owned</x:v>
      </x:c>
      <x:c r="Z63" s="27" t="str"/>
      <x:c r="AA63" s="27" t="str"/>
      <x:c r="AB63" s="27" t="str"/>
      <x:c r="AC63" s="27" t="str">
        <x:v>C:\PRAGMA_THESIS_LOCAL\02_문헌\학술문헌\[02-003]_Hong(2011)_Refusals in Chinese How Do L1 and L2 Differ_거절화행·L1L2대조.pdf</x:v>
      </x:c>
      <x:c r="AD63" s="27" t="str">
        <x:v>2026-08-13T16:17:57</x:v>
      </x:c>
      <x:c r="AE63" s="28" t="n">
        <x:v>756963</x:v>
      </x:c>
      <x:c r="AF63" s="27" t="str">
        <x:v>474e5465c07bc2808f8ee7a26452db92dad10dcc9d023ad0fbf321692f70e455</x:v>
      </x:c>
      <x:c r="AG63" s="27" t="str"/>
    </x:row>
    <x:row r="64" ht="18" customHeight="1">
      <x:c r="A64" s="27" t="str">
        <x:v>LIT-20260814-063</x:v>
      </x:c>
      <x:c r="B64" s="27" t="str">
        <x:v>02-003</x:v>
      </x:c>
      <x:c r="C64" s="27" t="str">
        <x:v>en</x:v>
      </x:c>
      <x:c r="D64" s="27" t="str">
        <x:v>[02-003]_House &amp; Kadar(2023)_Speech acts and interaction in second language pragmatics_화행유형론·최소단위.pdf</x:v>
      </x:c>
      <x:c r="E64" s="27" t="str">
        <x:v>PDF</x:v>
      </x:c>
      <x:c r="F64" s="27" t="n">
        <x:v>12</x:v>
      </x:c>
      <x:c r="G64" s="27" t="str">
        <x:v>full</x:v>
      </x:c>
      <x:c r="H64" s="27" t="str">
        <x:v>native</x:v>
      </x:c>
      <x:c r="I64" s="27" t="str">
        <x:v>House &amp; Kadar</x:v>
      </x:c>
      <x:c r="J64" s="27" t="str">
        <x:v>2023</x:v>
      </x:c>
      <x:c r="K64" s="27" t="str">
        <x:v>Speech acts and interaction in second language pragmatics</x:v>
      </x:c>
      <x:c r="L64" s="27" t="str">
        <x:v>화행유형론·최소단위</x:v>
      </x:c>
      <x:c r="M64" s="27" t="str">
        <x:v>unverified</x:v>
      </x:c>
      <x:c r="N64" s="27" t="str">
        <x:v>M0</x:v>
      </x:c>
      <x:c r="O64" s="27" t="str"/>
      <x:c r="P64" s="27"/>
      <x:c r="Q64" s="27"/>
      <x:c r="R64" s="27"/>
      <x:c r="S64" s="27"/>
      <x:c r="T64" s="27"/>
      <x:c r="U64" s="27"/>
      <x:c r="V64" s="27" t="str">
        <x:f>IF(COUNTA(P64:U64)=0,"",SUM(P64:U64))</x:f>
      </x:c>
      <x:c r="W64" s="27" t="str">
        <x:v>02-003</x:v>
      </x:c>
      <x:c r="X64" s="27" t="str">
        <x:v>T1_candidate</x:v>
      </x:c>
      <x:c r="Y64" s="27" t="str">
        <x:v>owned</x:v>
      </x:c>
      <x:c r="Z64" s="27" t="str"/>
      <x:c r="AA64" s="27" t="str"/>
      <x:c r="AB64" s="27" t="str"/>
      <x:c r="AC64" s="27" t="str">
        <x:v>C:\PRAGMA_THESIS_LOCAL\02_문헌\학술문헌\[02-003]_House &amp; Kadar(2023)_Speech acts and interaction in second language pragmatics_화행유형론·최소단위.pdf</x:v>
      </x:c>
      <x:c r="AD64" s="27" t="str">
        <x:v>2026-07-26T12:17:05</x:v>
      </x:c>
      <x:c r="AE64" s="28" t="n">
        <x:v>428889</x:v>
      </x:c>
      <x:c r="AF64" s="27" t="str">
        <x:v>2dcd197ff1090597c601c646dfde1345184b88e561ab2bd65f3e555036342886</x:v>
      </x:c>
      <x:c r="AG64" s="27" t="str"/>
    </x:row>
    <x:row r="65" ht="18" customHeight="1">
      <x:c r="A65" s="27" t="str">
        <x:v>LIT-20260814-064</x:v>
      </x:c>
      <x:c r="B65" s="27" t="str">
        <x:v>02-003</x:v>
      </x:c>
      <x:c r="C65" s="27" t="str">
        <x:v>en</x:v>
      </x:c>
      <x:c r="D65" s="27" t="str">
        <x:v>[02-003]_House &amp; Kadar_Cross-Cultural Pragmatics (발췌)_화행코딩·중심행위분절.txt</x:v>
      </x:c>
      <x:c r="E65" s="27" t="str">
        <x:v>TXT</x:v>
      </x:c>
      <x:c r="F65" s="27"/>
      <x:c r="G65" s="27" t="str">
        <x:v>excerpt</x:v>
      </x:c>
      <x:c r="H65" s="27" t="str">
        <x:v>native</x:v>
      </x:c>
      <x:c r="I65" s="27" t="str">
        <x:v>House &amp; Kadar</x:v>
      </x:c>
      <x:c r="J65" s="27" t="str"/>
      <x:c r="K65" s="27" t="str">
        <x:v>Cross-Cultural Pragmatics (발췌)</x:v>
      </x:c>
      <x:c r="L65" s="27" t="str">
        <x:v>화행코딩·중심행위분절</x:v>
      </x:c>
      <x:c r="M65" s="27" t="str">
        <x:v>unverified</x:v>
      </x:c>
      <x:c r="N65" s="27" t="str">
        <x:v>M0</x:v>
      </x:c>
      <x:c r="O65" s="27" t="str"/>
      <x:c r="P65" s="27"/>
      <x:c r="Q65" s="27"/>
      <x:c r="R65" s="27"/>
      <x:c r="S65" s="27"/>
      <x:c r="T65" s="27"/>
      <x:c r="U65" s="27"/>
      <x:c r="V65" s="27" t="str">
        <x:f>IF(COUNTA(P65:U65)=0,"",SUM(P65:U65))</x:f>
      </x:c>
      <x:c r="W65" s="27" t="str">
        <x:v>02-003</x:v>
      </x:c>
      <x:c r="X65" s="27" t="str">
        <x:v>T1_candidate</x:v>
      </x:c>
      <x:c r="Y65" s="27" t="str">
        <x:v>owned</x:v>
      </x:c>
      <x:c r="Z65" s="27" t="str">
        <x:v>year_unverified</x:v>
      </x:c>
      <x:c r="AA65" s="27" t="str"/>
      <x:c r="AB65" s="27" t="str"/>
      <x:c r="AC65" s="27" t="str">
        <x:v>C:\PRAGMA_THESIS_LOCAL\02_문헌\학술문헌\[02-003]_House &amp; Kadar_Cross-Cultural Pragmatics (발췌)_화행코딩·중심행위분절.txt</x:v>
      </x:c>
      <x:c r="AD65" s="27" t="str">
        <x:v>2026-08-11T10:35:10</x:v>
      </x:c>
      <x:c r="AE65" s="28" t="n">
        <x:v>158509</x:v>
      </x:c>
      <x:c r="AF65" s="27" t="str">
        <x:v>423e634c78a0fad81ed783d3f9949636682079f7e2c2c0577b319b8c76a3908d</x:v>
      </x:c>
      <x:c r="AG65" s="27" t="str"/>
    </x:row>
    <x:row r="66" ht="18" customHeight="1">
      <x:c r="A66" s="27" t="str">
        <x:v>LIT-20260814-065</x:v>
      </x:c>
      <x:c r="B66" s="27" t="str">
        <x:v>02-003</x:v>
      </x:c>
      <x:c r="C66" s="27" t="str">
        <x:v>ko</x:v>
      </x:c>
      <x:c r="D66" s="27" t="str">
        <x:v>[02-003]_Niu &amp; 권순희(2024)_중국인 고급 한국어 학습자와 한국어 모어 화자의 비동의 화행 양상 비교_한중대조·비동의화행.pdf</x:v>
      </x:c>
      <x:c r="E66" s="27" t="str">
        <x:v>PDF</x:v>
      </x:c>
      <x:c r="F66" s="27" t="n">
        <x:v>34</x:v>
      </x:c>
      <x:c r="G66" s="27" t="str">
        <x:v>full</x:v>
      </x:c>
      <x:c r="H66" s="27" t="str">
        <x:v>native</x:v>
      </x:c>
      <x:c r="I66" s="27" t="str">
        <x:v>Niu &amp; 권순희</x:v>
      </x:c>
      <x:c r="J66" s="27" t="str">
        <x:v>2024</x:v>
      </x:c>
      <x:c r="K66" s="27" t="str">
        <x:v>중국인 고급 한국어 학습자와 한국어 모어 화자의 비동의 화행 양상 비교</x:v>
      </x:c>
      <x:c r="L66" s="27" t="str">
        <x:v>한중대조·비동의화행</x:v>
      </x:c>
      <x:c r="M66" s="27" t="str">
        <x:v>unverified</x:v>
      </x:c>
      <x:c r="N66" s="27" t="str">
        <x:v>M0</x:v>
      </x:c>
      <x:c r="O66" s="27" t="str"/>
      <x:c r="P66" s="27"/>
      <x:c r="Q66" s="27"/>
      <x:c r="R66" s="27"/>
      <x:c r="S66" s="27"/>
      <x:c r="T66" s="27"/>
      <x:c r="U66" s="27"/>
      <x:c r="V66" s="27" t="str">
        <x:f>IF(COUNTA(P66:U66)=0,"",SUM(P66:U66))</x:f>
      </x:c>
      <x:c r="W66" s="27" t="str">
        <x:v>02-003</x:v>
      </x:c>
      <x:c r="X66" s="27" t="str">
        <x:v>T1_candidate</x:v>
      </x:c>
      <x:c r="Y66" s="27" t="str">
        <x:v>owned</x:v>
      </x:c>
      <x:c r="Z66" s="27" t="str"/>
      <x:c r="AA66" s="27" t="str"/>
      <x:c r="AB66" s="27" t="str"/>
      <x:c r="AC66" s="27" t="str">
        <x:v>C:\PRAGMA_THESIS_LOCAL\02_문헌\학술문헌\[02-003]_Niu &amp; 권순희(2024)_중국인 고급 한국어 학습자와 한국어 모어 화자의 비동의 화행 양상 비교_한중대조·비동의화행.pdf</x:v>
      </x:c>
      <x:c r="AD66" s="27" t="str">
        <x:v>2026-07-18T11:02:32</x:v>
      </x:c>
      <x:c r="AE66" s="28" t="n">
        <x:v>1926025</x:v>
      </x:c>
      <x:c r="AF66" s="27" t="str">
        <x:v>ccc9fb95ba85eda9b7cee6e27667a7794144884a4ba0d10c32a34a4e05a86f5c</x:v>
      </x:c>
      <x:c r="AG66" s="27" t="str"/>
    </x:row>
    <x:row r="67" ht="18" customHeight="1">
      <x:c r="A67" s="27" t="str">
        <x:v>LIT-20260814-066</x:v>
      </x:c>
      <x:c r="B67" s="27" t="str">
        <x:v>02-003</x:v>
      </x:c>
      <x:c r="C67" s="27" t="str">
        <x:v>en</x:v>
      </x:c>
      <x:c r="D67" s="27" t="str">
        <x:v>[02-003]_Su &amp; Ren(2017)_Developing L2 Pragmatic Competence in Mandarin Chinese Sequential Realization of Requests_내적완화·요청연쇄.pdf</x:v>
      </x:c>
      <x:c r="E67" s="27" t="str">
        <x:v>PDF</x:v>
      </x:c>
      <x:c r="F67" s="27" t="n">
        <x:v>26</x:v>
      </x:c>
      <x:c r="G67" s="27" t="str">
        <x:v>full</x:v>
      </x:c>
      <x:c r="H67" s="27" t="str">
        <x:v>native</x:v>
      </x:c>
      <x:c r="I67" s="27" t="str">
        <x:v>Su &amp; Ren</x:v>
      </x:c>
      <x:c r="J67" s="27" t="str">
        <x:v>2017</x:v>
      </x:c>
      <x:c r="K67" s="27" t="str">
        <x:v>Developing L2 Pragmatic Competence in Mandarin Chinese Sequential Realization of Requests</x:v>
      </x:c>
      <x:c r="L67" s="27" t="str">
        <x:v>내적완화·요청연쇄</x:v>
      </x:c>
      <x:c r="M67" s="27" t="str">
        <x:v>unverified</x:v>
      </x:c>
      <x:c r="N67" s="27" t="str">
        <x:v>M0</x:v>
      </x:c>
      <x:c r="O67" s="27" t="str"/>
      <x:c r="P67" s="27"/>
      <x:c r="Q67" s="27"/>
      <x:c r="R67" s="27"/>
      <x:c r="S67" s="27"/>
      <x:c r="T67" s="27"/>
      <x:c r="U67" s="27"/>
      <x:c r="V67" s="27" t="str">
        <x:f>IF(COUNTA(P67:U67)=0,"",SUM(P67:U67))</x:f>
      </x:c>
      <x:c r="W67" s="27" t="str">
        <x:v>02-003</x:v>
      </x:c>
      <x:c r="X67" s="27" t="str">
        <x:v>T1_candidate</x:v>
      </x:c>
      <x:c r="Y67" s="27" t="str">
        <x:v>owned</x:v>
      </x:c>
      <x:c r="Z67" s="27" t="str"/>
      <x:c r="AA67" s="27" t="str"/>
      <x:c r="AB67" s="27" t="str"/>
      <x:c r="AC67" s="27" t="str">
        <x:v>C:\PRAGMA_THESIS_LOCAL\02_문헌\학술문헌\[02-003]_Su &amp; Ren(2017)_Developing L2 Pragmatic Competence in Mandarin Chinese Sequential Realization of Requests_내적완화·요청연쇄.pdf</x:v>
      </x:c>
      <x:c r="AD67" s="27" t="str">
        <x:v>2026-07-26T12:41:58</x:v>
      </x:c>
      <x:c r="AE67" s="28" t="n">
        <x:v>1179046</x:v>
      </x:c>
      <x:c r="AF67" s="27" t="str">
        <x:v>4547096d59369995965ddbdae03fa1c7a148d79764e470889109dbc61b7b7be2</x:v>
      </x:c>
      <x:c r="AG67" s="27" t="str"/>
    </x:row>
    <x:row r="68" ht="18" customHeight="1">
      <x:c r="A68" s="27" t="str">
        <x:v>LIT-20260814-067</x:v>
      </x:c>
      <x:c r="B68" s="27" t="str">
        <x:v>02-003</x:v>
      </x:c>
      <x:c r="C68" s="27" t="str">
        <x:v>en</x:v>
      </x:c>
      <x:c r="D68" s="27" t="str">
        <x:v>[02-003]_Wu &amp; Roever(2021)_Proficiency and Preference Organization in L2 Mandarin Chinese Refusals_거절화행·선호조직.pdf</x:v>
      </x:c>
      <x:c r="E68" s="27" t="str">
        <x:v>PDF</x:v>
      </x:c>
      <x:c r="F68" s="27" t="n">
        <x:v>23</x:v>
      </x:c>
      <x:c r="G68" s="27" t="str">
        <x:v>full</x:v>
      </x:c>
      <x:c r="H68" s="27" t="str">
        <x:v>native</x:v>
      </x:c>
      <x:c r="I68" s="27" t="str">
        <x:v>Wu &amp; Roever</x:v>
      </x:c>
      <x:c r="J68" s="27" t="str">
        <x:v>2021</x:v>
      </x:c>
      <x:c r="K68" s="27" t="str">
        <x:v>Proficiency and Preference Organization in L2 Mandarin Chinese Refusals</x:v>
      </x:c>
      <x:c r="L68" s="27" t="str">
        <x:v>거절화행·선호조직</x:v>
      </x:c>
      <x:c r="M68" s="27" t="str">
        <x:v>unverified</x:v>
      </x:c>
      <x:c r="N68" s="27" t="str">
        <x:v>M0</x:v>
      </x:c>
      <x:c r="O68" s="27" t="str"/>
      <x:c r="P68" s="27"/>
      <x:c r="Q68" s="27"/>
      <x:c r="R68" s="27"/>
      <x:c r="S68" s="27"/>
      <x:c r="T68" s="27"/>
      <x:c r="U68" s="27"/>
      <x:c r="V68" s="27" t="str">
        <x:f>IF(COUNTA(P68:U68)=0,"",SUM(P68:U68))</x:f>
      </x:c>
      <x:c r="W68" s="27" t="str">
        <x:v>02-003</x:v>
      </x:c>
      <x:c r="X68" s="27" t="str">
        <x:v>T1_candidate</x:v>
      </x:c>
      <x:c r="Y68" s="27" t="str">
        <x:v>owned</x:v>
      </x:c>
      <x:c r="Z68" s="27" t="str"/>
      <x:c r="AA68" s="27" t="str"/>
      <x:c r="AB68" s="27" t="str"/>
      <x:c r="AC68" s="27" t="str">
        <x:v>C:\PRAGMA_THESIS_LOCAL\02_문헌\학술문헌\[02-003]_Wu &amp; Roever(2021)_Proficiency and Preference Organization in L2 Mandarin Chinese Refusals_거절화행·선호조직.pdf</x:v>
      </x:c>
      <x:c r="AD68" s="27" t="str">
        <x:v>2026-06-14T15:58:51</x:v>
      </x:c>
      <x:c r="AE68" s="28" t="n">
        <x:v>1063250</x:v>
      </x:c>
      <x:c r="AF68" s="27" t="str">
        <x:v>1c6d3145b72b6c091c7f3d80b81d05f0d883b03550d0032f86112a4bb6766f87</x:v>
      </x:c>
      <x:c r="AG68" s="27" t="str"/>
    </x:row>
    <x:row r="69" ht="18" customHeight="1">
      <x:c r="A69" s="27" t="str">
        <x:v>LIT-20260814-068</x:v>
      </x:c>
      <x:c r="B69" s="27" t="str">
        <x:v>02-003</x:v>
      </x:c>
      <x:c r="C69" s="27" t="str">
        <x:v>en</x:v>
      </x:c>
      <x:c r="D69" s="27" t="str">
        <x:v>[02-003]_Yu(1999)_Universalistic and Culture-Specific Perspectives on Variation in the Acquisition of Pragmatic Competence_중국어직접성·설계반박.pdf</x:v>
      </x:c>
      <x:c r="E69" s="27" t="str">
        <x:v>PDF</x:v>
      </x:c>
      <x:c r="F69" s="27" t="n">
        <x:v>32</x:v>
      </x:c>
      <x:c r="G69" s="27" t="str">
        <x:v>full</x:v>
      </x:c>
      <x:c r="H69" s="27" t="str">
        <x:v>native</x:v>
      </x:c>
      <x:c r="I69" s="27" t="str">
        <x:v>Yu</x:v>
      </x:c>
      <x:c r="J69" s="27" t="str">
        <x:v>1999</x:v>
      </x:c>
      <x:c r="K69" s="27" t="str">
        <x:v>Universalistic and Culture-Specific Perspectives on Variation in the Acquisition of Pragmatic Competence</x:v>
      </x:c>
      <x:c r="L69" s="27" t="str">
        <x:v>중국어직접성·설계반박</x:v>
      </x:c>
      <x:c r="M69" s="27" t="str">
        <x:v>unverified</x:v>
      </x:c>
      <x:c r="N69" s="27" t="str">
        <x:v>M0</x:v>
      </x:c>
      <x:c r="O69" s="27" t="str"/>
      <x:c r="P69" s="27"/>
      <x:c r="Q69" s="27"/>
      <x:c r="R69" s="27"/>
      <x:c r="S69" s="27"/>
      <x:c r="T69" s="27"/>
      <x:c r="U69" s="27"/>
      <x:c r="V69" s="27" t="str">
        <x:f>IF(COUNTA(P69:U69)=0,"",SUM(P69:U69))</x:f>
      </x:c>
      <x:c r="W69" s="27" t="str">
        <x:v>02-003</x:v>
      </x:c>
      <x:c r="X69" s="27" t="str">
        <x:v>T1_candidate</x:v>
      </x:c>
      <x:c r="Y69" s="27" t="str">
        <x:v>owned</x:v>
      </x:c>
      <x:c r="Z69" s="27" t="str"/>
      <x:c r="AA69" s="27" t="str"/>
      <x:c r="AB69" s="27" t="str"/>
      <x:c r="AC69" s="27" t="str">
        <x:v>C:\PRAGMA_THESIS_LOCAL\02_문헌\학술문헌\[02-003]_Yu(1999)_Universalistic and Culture-Specific Perspectives on Variation in the Acquisition of Pragmatic Competence_중국어직접성·설계반박.pdf</x:v>
      </x:c>
      <x:c r="AD69" s="27" t="str">
        <x:v>2026-07-26T12:16:09</x:v>
      </x:c>
      <x:c r="AE69" s="28" t="n">
        <x:v>25406779</x:v>
      </x:c>
      <x:c r="AF69" s="27" t="str">
        <x:v>57f33fd6b574fffa51ffc1323739f667a18e79324e6e50354469ad4e25096911</x:v>
      </x:c>
      <x:c r="AG69" s="27" t="str"/>
    </x:row>
    <x:row r="70" ht="18" customHeight="1">
      <x:c r="A70" s="27" t="str">
        <x:v>LIT-20260814-069</x:v>
      </x:c>
      <x:c r="B70" s="27" t="str">
        <x:v>02-003</x:v>
      </x:c>
      <x:c r="C70" s="27" t="str">
        <x:v>zh</x:v>
      </x:c>
      <x:c r="D70" s="27" t="str">
        <x:v>[02-003]_徐晓彤(2021)_中韩请求言语行为对比分析及教学建议_한중대조·요청화행.pdf</x:v>
      </x:c>
      <x:c r="E70" s="27" t="str">
        <x:v>PDF</x:v>
      </x:c>
      <x:c r="F70" s="27" t="n">
        <x:v>61</x:v>
      </x:c>
      <x:c r="G70" s="27" t="str">
        <x:v>full</x:v>
      </x:c>
      <x:c r="H70" s="27" t="str">
        <x:v>native</x:v>
      </x:c>
      <x:c r="I70" s="27" t="str">
        <x:v>徐晓彤</x:v>
      </x:c>
      <x:c r="J70" s="27" t="str">
        <x:v>2021</x:v>
      </x:c>
      <x:c r="K70" s="27" t="str">
        <x:v>中韩请求言语行为对比分析及教学建议</x:v>
      </x:c>
      <x:c r="L70" s="27" t="str">
        <x:v>한중대조·요청화행</x:v>
      </x:c>
      <x:c r="M70" s="27" t="str">
        <x:v>unverified</x:v>
      </x:c>
      <x:c r="N70" s="27" t="str">
        <x:v>M0</x:v>
      </x:c>
      <x:c r="O70" s="27" t="str"/>
      <x:c r="P70" s="27"/>
      <x:c r="Q70" s="27"/>
      <x:c r="R70" s="27"/>
      <x:c r="S70" s="27"/>
      <x:c r="T70" s="27"/>
      <x:c r="U70" s="27"/>
      <x:c r="V70" s="27" t="str">
        <x:f>IF(COUNTA(P70:U70)=0,"",SUM(P70:U70))</x:f>
      </x:c>
      <x:c r="W70" s="27" t="str">
        <x:v>02-003</x:v>
      </x:c>
      <x:c r="X70" s="27" t="str">
        <x:v>T1_candidate</x:v>
      </x:c>
      <x:c r="Y70" s="27" t="str">
        <x:v>owned</x:v>
      </x:c>
      <x:c r="Z70" s="27" t="str"/>
      <x:c r="AA70" s="27" t="str"/>
      <x:c r="AB70" s="27" t="str"/>
      <x:c r="AC70" s="27" t="str">
        <x:v>C:\PRAGMA_THESIS_LOCAL\02_문헌\학술문헌\[02-003]_徐晓彤(2021)_中韩请求言语行为对比分析及教学建议_한중대조·요청화행.pdf</x:v>
      </x:c>
      <x:c r="AD70" s="27" t="str">
        <x:v>2026-08-14T11:46:36</x:v>
      </x:c>
      <x:c r="AE70" s="28" t="n">
        <x:v>1243999</x:v>
      </x:c>
      <x:c r="AF70" s="27" t="str">
        <x:v>0f397caa46e987cf40c0b1ec2c21e634966865ef83d8400d56c161b11d66eeb5</x:v>
      </x:c>
      <x:c r="AG70" s="27" t="str"/>
    </x:row>
    <x:row r="71" ht="18" customHeight="1">
      <x:c r="A71" s="27" t="str">
        <x:v>LIT-20260814-070</x:v>
      </x:c>
      <x:c r="B71" s="27" t="str">
        <x:v>02-003</x:v>
      </x:c>
      <x:c r="C71" s="27" t="str">
        <x:v>zh</x:v>
      </x:c>
      <x:c r="D71" s="27" t="str">
        <x:v>[02-003]_林娟廷(2010)_汉韩语言对比研究状况考察与分析_한중대조·연구동향.pdf</x:v>
      </x:c>
      <x:c r="E71" s="27" t="str">
        <x:v>PDF</x:v>
      </x:c>
      <x:c r="F71" s="27" t="n">
        <x:v>9</x:v>
      </x:c>
      <x:c r="G71" s="27" t="str">
        <x:v>full</x:v>
      </x:c>
      <x:c r="H71" s="27" t="str">
        <x:v>native</x:v>
      </x:c>
      <x:c r="I71" s="27" t="str">
        <x:v>林娟廷</x:v>
      </x:c>
      <x:c r="J71" s="27" t="str">
        <x:v>2010</x:v>
      </x:c>
      <x:c r="K71" s="27" t="str">
        <x:v>汉韩语言对比研究状况考察与分析</x:v>
      </x:c>
      <x:c r="L71" s="27" t="str">
        <x:v>한중대조·연구동향</x:v>
      </x:c>
      <x:c r="M71" s="27" t="str">
        <x:v>unverified</x:v>
      </x:c>
      <x:c r="N71" s="27" t="str">
        <x:v>M0</x:v>
      </x:c>
      <x:c r="O71" s="27" t="str"/>
      <x:c r="P71" s="27"/>
      <x:c r="Q71" s="27"/>
      <x:c r="R71" s="27"/>
      <x:c r="S71" s="27"/>
      <x:c r="T71" s="27"/>
      <x:c r="U71" s="27"/>
      <x:c r="V71" s="27" t="str">
        <x:f>IF(COUNTA(P71:U71)=0,"",SUM(P71:U71))</x:f>
      </x:c>
      <x:c r="W71" s="27" t="str">
        <x:v>02-003</x:v>
      </x:c>
      <x:c r="X71" s="27" t="str">
        <x:v>T1_candidate</x:v>
      </x:c>
      <x:c r="Y71" s="27" t="str">
        <x:v>owned</x:v>
      </x:c>
      <x:c r="Z71" s="27" t="str"/>
      <x:c r="AA71" s="27" t="str"/>
      <x:c r="AB71" s="27" t="str"/>
      <x:c r="AC71" s="27" t="str">
        <x:v>C:\PRAGMA_THESIS_LOCAL\02_문헌\학술문헌\[02-003]_林娟廷(2010)_汉韩语言对比研究状况考察与分析_한중대조·연구동향.pdf</x:v>
      </x:c>
      <x:c r="AD71" s="27" t="str">
        <x:v>2026-08-14T11:45:56</x:v>
      </x:c>
      <x:c r="AE71" s="28" t="n">
        <x:v>532939</x:v>
      </x:c>
      <x:c r="AF71" s="27" t="str">
        <x:v>f6ae749389ffd03f6b50f084915d351141614ce248f62fc50937acae8ab86736</x:v>
      </x:c>
      <x:c r="AG71" s="27" t="str"/>
    </x:row>
    <x:row r="72" ht="18" customHeight="1">
      <x:c r="A72" s="27" t="str">
        <x:v>LIT-20260814-071</x:v>
      </x:c>
      <x:c r="B72" s="27" t="str">
        <x:v>02-003</x:v>
      </x:c>
      <x:c r="C72" s="27" t="str">
        <x:v>zh</x:v>
      </x:c>
      <x:c r="D72" s="27" t="str">
        <x:v>[02-003]_梁琳 等(2023)_目的语环境下韩国汉语学习者拒绝语用能力探析_한국인학습자·거절화행.pdf</x:v>
      </x:c>
      <x:c r="E72" s="27" t="str">
        <x:v>PDF</x:v>
      </x:c>
      <x:c r="F72" s="27" t="n">
        <x:v>10</x:v>
      </x:c>
      <x:c r="G72" s="27" t="str">
        <x:v>full</x:v>
      </x:c>
      <x:c r="H72" s="27" t="str">
        <x:v>native</x:v>
      </x:c>
      <x:c r="I72" s="27" t="str">
        <x:v>梁琳 等</x:v>
      </x:c>
      <x:c r="J72" s="27" t="str">
        <x:v>2023</x:v>
      </x:c>
      <x:c r="K72" s="27" t="str">
        <x:v>目的语环境下韩国汉语学习者拒绝语用能力探析</x:v>
      </x:c>
      <x:c r="L72" s="27" t="str">
        <x:v>한국인학습자·거절화행</x:v>
      </x:c>
      <x:c r="M72" s="27" t="str">
        <x:v>unverified</x:v>
      </x:c>
      <x:c r="N72" s="27" t="str">
        <x:v>M0</x:v>
      </x:c>
      <x:c r="O72" s="27" t="str"/>
      <x:c r="P72" s="27"/>
      <x:c r="Q72" s="27"/>
      <x:c r="R72" s="27"/>
      <x:c r="S72" s="27"/>
      <x:c r="T72" s="27"/>
      <x:c r="U72" s="27"/>
      <x:c r="V72" s="27" t="str">
        <x:f>IF(COUNTA(P72:U72)=0,"",SUM(P72:U72))</x:f>
      </x:c>
      <x:c r="W72" s="27" t="str">
        <x:v>02-003</x:v>
      </x:c>
      <x:c r="X72" s="27" t="str">
        <x:v>T1_candidate</x:v>
      </x:c>
      <x:c r="Y72" s="27" t="str">
        <x:v>owned</x:v>
      </x:c>
      <x:c r="Z72" s="27" t="str"/>
      <x:c r="AA72" s="27" t="str"/>
      <x:c r="AB72" s="27" t="str"/>
      <x:c r="AC72" s="27" t="str">
        <x:v>C:\PRAGMA_THESIS_LOCAL\02_문헌\학술문헌\[02-003]_梁琳 等(2023)_目的语环境下韩国汉语学习者拒绝语用能力探析_한국인학습자·거절화행.pdf</x:v>
      </x:c>
      <x:c r="AD72" s="27" t="str">
        <x:v>2026-07-26T14:19:40</x:v>
      </x:c>
      <x:c r="AE72" s="28" t="n">
        <x:v>1858750</x:v>
      </x:c>
      <x:c r="AF72" s="27" t="str">
        <x:v>9196974b2eea10544ef15c312051bbd683d5a1ca9bcac8ed0abecefe58d8bd9c</x:v>
      </x:c>
      <x:c r="AG72" s="27" t="str"/>
    </x:row>
    <x:row r="73" ht="18" customHeight="1">
      <x:c r="A73" s="27" t="str">
        <x:v>LIT-20260814-072</x:v>
      </x:c>
      <x:c r="B73" s="27" t="str">
        <x:v>02-003</x:v>
      </x:c>
      <x:c r="C73" s="27" t="str">
        <x:v>zh</x:v>
      </x:c>
      <x:c r="D73" s="27" t="str">
        <x:v>[02-003]_郭辉(2021)_汉韩拒绝言语行为对比研究及对韩汉语教学启示_한중대조·거절화행.pdf</x:v>
      </x:c>
      <x:c r="E73" s="27" t="str">
        <x:v>PDF</x:v>
      </x:c>
      <x:c r="F73" s="27" t="n">
        <x:v>124</x:v>
      </x:c>
      <x:c r="G73" s="27" t="str">
        <x:v>full</x:v>
      </x:c>
      <x:c r="H73" s="27" t="str">
        <x:v>native</x:v>
      </x:c>
      <x:c r="I73" s="27" t="str">
        <x:v>郭辉</x:v>
      </x:c>
      <x:c r="J73" s="27" t="str">
        <x:v>2021</x:v>
      </x:c>
      <x:c r="K73" s="27" t="str">
        <x:v>汉韩拒绝言语行为对比研究及对韩汉语教学启示</x:v>
      </x:c>
      <x:c r="L73" s="27" t="str">
        <x:v>한중대조·거절화행</x:v>
      </x:c>
      <x:c r="M73" s="27" t="str">
        <x:v>unverified</x:v>
      </x:c>
      <x:c r="N73" s="27" t="str">
        <x:v>M0</x:v>
      </x:c>
      <x:c r="O73" s="27" t="str"/>
      <x:c r="P73" s="27"/>
      <x:c r="Q73" s="27"/>
      <x:c r="R73" s="27"/>
      <x:c r="S73" s="27"/>
      <x:c r="T73" s="27"/>
      <x:c r="U73" s="27"/>
      <x:c r="V73" s="27" t="str">
        <x:f>IF(COUNTA(P73:U73)=0,"",SUM(P73:U73))</x:f>
      </x:c>
      <x:c r="W73" s="27" t="str">
        <x:v>02-003</x:v>
      </x:c>
      <x:c r="X73" s="27" t="str">
        <x:v>T1_candidate</x:v>
      </x:c>
      <x:c r="Y73" s="27" t="str">
        <x:v>owned</x:v>
      </x:c>
      <x:c r="Z73" s="27" t="str"/>
      <x:c r="AA73" s="27" t="str"/>
      <x:c r="AB73" s="27" t="str"/>
      <x:c r="AC73" s="27" t="str">
        <x:v>C:\PRAGMA_THESIS_LOCAL\02_문헌\학술문헌\[02-003]_郭辉(2021)_汉韩拒绝言语行为对比研究及对韩汉语教学启示_한중대조·거절화행.pdf</x:v>
      </x:c>
      <x:c r="AD73" s="27" t="str">
        <x:v>2026-08-14T11:46:21</x:v>
      </x:c>
      <x:c r="AE73" s="28" t="n">
        <x:v>2254309</x:v>
      </x:c>
      <x:c r="AF73" s="27" t="str">
        <x:v>64cecb9d468736b76bfbb433036e2b4c3be6c06c76824b72e89e726f349165cc</x:v>
      </x:c>
      <x:c r="AG73" s="27" t="str">
        <x:v>YES</x:v>
      </x:c>
    </x:row>
    <x:row r="74" ht="18" customHeight="1">
      <x:c r="A74" s="27" t="str">
        <x:v>LIT-20260814-073</x:v>
      </x:c>
      <x:c r="B74" s="27" t="str">
        <x:v>02-003</x:v>
      </x:c>
      <x:c r="C74" s="27" t="str">
        <x:v>zh</x:v>
      </x:c>
      <x:c r="D74" s="27" t="str">
        <x:v>[02-003]_黄仙姬(2013)_汉韩请求语认知语用对比_한중대조·요청화행.pdf</x:v>
      </x:c>
      <x:c r="E74" s="27" t="str">
        <x:v>PDF</x:v>
      </x:c>
      <x:c r="F74" s="27" t="n">
        <x:v>5</x:v>
      </x:c>
      <x:c r="G74" s="27" t="str">
        <x:v>full</x:v>
      </x:c>
      <x:c r="H74" s="27" t="str">
        <x:v>native</x:v>
      </x:c>
      <x:c r="I74" s="27" t="str">
        <x:v>黄仙姬</x:v>
      </x:c>
      <x:c r="J74" s="27" t="str">
        <x:v>2013</x:v>
      </x:c>
      <x:c r="K74" s="27" t="str">
        <x:v>汉韩请求语认知语用对比</x:v>
      </x:c>
      <x:c r="L74" s="27" t="str">
        <x:v>한중대조·요청화행</x:v>
      </x:c>
      <x:c r="M74" s="27" t="str">
        <x:v>unverified</x:v>
      </x:c>
      <x:c r="N74" s="27" t="str">
        <x:v>M0</x:v>
      </x:c>
      <x:c r="O74" s="27" t="str"/>
      <x:c r="P74" s="27"/>
      <x:c r="Q74" s="27"/>
      <x:c r="R74" s="27"/>
      <x:c r="S74" s="27"/>
      <x:c r="T74" s="27"/>
      <x:c r="U74" s="27"/>
      <x:c r="V74" s="27" t="str">
        <x:f>IF(COUNTA(P74:U74)=0,"",SUM(P74:U74))</x:f>
      </x:c>
      <x:c r="W74" s="27" t="str">
        <x:v>02-003</x:v>
      </x:c>
      <x:c r="X74" s="27" t="str">
        <x:v>T1_candidate</x:v>
      </x:c>
      <x:c r="Y74" s="27" t="str">
        <x:v>owned</x:v>
      </x:c>
      <x:c r="Z74" s="27" t="str"/>
      <x:c r="AA74" s="27" t="str"/>
      <x:c r="AB74" s="27" t="str"/>
      <x:c r="AC74" s="27" t="str">
        <x:v>C:\PRAGMA_THESIS_LOCAL\02_문헌\학술문헌\[02-003]_黄仙姬(2013)_汉韩请求语认知语用对比_한중대조·요청화행.pdf</x:v>
      </x:c>
      <x:c r="AD74" s="27" t="str">
        <x:v>2026-08-14T11:30:27</x:v>
      </x:c>
      <x:c r="AE74" s="28" t="n">
        <x:v>1205946</x:v>
      </x:c>
      <x:c r="AF74" s="27" t="str">
        <x:v>f5951ad93b9b42e2133826ae37d3765db0dd38af58f64b81c74683356a677564</x:v>
      </x:c>
      <x:c r="AG74" s="27" t="str"/>
    </x:row>
    <x:row r="75" ht="18" customHeight="1">
      <x:c r="A75" s="27" t="str">
        <x:v>LIT-20260814-074</x:v>
      </x:c>
      <x:c r="B75" s="27" t="str">
        <x:v>02-003</x:v>
      </x:c>
      <x:c r="C75" s="27" t="str">
        <x:v>zh</x:v>
      </x:c>
      <x:c r="D75" s="27" t="str">
        <x:v>[02-003]_黄玉花(2015)_汉韩语言对比研究的现实困境与路径选择_한중대조·연구공백.pdf</x:v>
      </x:c>
      <x:c r="E75" s="27" t="str">
        <x:v>PDF</x:v>
      </x:c>
      <x:c r="F75" s="27" t="n">
        <x:v>9</x:v>
      </x:c>
      <x:c r="G75" s="27" t="str">
        <x:v>full</x:v>
      </x:c>
      <x:c r="H75" s="27" t="str">
        <x:v>native</x:v>
      </x:c>
      <x:c r="I75" s="27" t="str">
        <x:v>黄玉花</x:v>
      </x:c>
      <x:c r="J75" s="27" t="str">
        <x:v>2015</x:v>
      </x:c>
      <x:c r="K75" s="27" t="str">
        <x:v>汉韩语言对比研究的现实困境与路径选择</x:v>
      </x:c>
      <x:c r="L75" s="27" t="str">
        <x:v>한중대조·연구공백</x:v>
      </x:c>
      <x:c r="M75" s="27" t="str">
        <x:v>unverified</x:v>
      </x:c>
      <x:c r="N75" s="27" t="str">
        <x:v>M0</x:v>
      </x:c>
      <x:c r="O75" s="27" t="str"/>
      <x:c r="P75" s="27"/>
      <x:c r="Q75" s="27"/>
      <x:c r="R75" s="27"/>
      <x:c r="S75" s="27"/>
      <x:c r="T75" s="27"/>
      <x:c r="U75" s="27"/>
      <x:c r="V75" s="27" t="str">
        <x:f>IF(COUNTA(P75:U75)=0,"",SUM(P75:U75))</x:f>
      </x:c>
      <x:c r="W75" s="27" t="str">
        <x:v>02-003</x:v>
      </x:c>
      <x:c r="X75" s="27" t="str">
        <x:v>T1_candidate</x:v>
      </x:c>
      <x:c r="Y75" s="27" t="str">
        <x:v>owned</x:v>
      </x:c>
      <x:c r="Z75" s="27" t="str"/>
      <x:c r="AA75" s="27" t="str"/>
      <x:c r="AB75" s="27" t="str"/>
      <x:c r="AC75" s="27" t="str">
        <x:v>C:\PRAGMA_THESIS_LOCAL\02_문헌\학술문헌\[02-003]_黄玉花(2015)_汉韩语言对比研究的现实困境与路径选择_한중대조·연구공백.pdf</x:v>
      </x:c>
      <x:c r="AD75" s="27" t="str">
        <x:v>2026-08-14T11:50:16</x:v>
      </x:c>
      <x:c r="AE75" s="28" t="n">
        <x:v>141440</x:v>
      </x:c>
      <x:c r="AF75" s="27" t="str">
        <x:v>212da2c16cddf1f693c04393bdc81a0d8ef887523fdc65b7c890bf276a56be40</x:v>
      </x:c>
      <x:c r="AG75" s="27" t="str"/>
    </x:row>
    <x:row r="76" ht="18" customHeight="1">
      <x:c r="A76" s="27" t="str">
        <x:v>LIT-20260814-075</x:v>
      </x:c>
      <x:c r="B76" s="27" t="str">
        <x:v>02-003</x:v>
      </x:c>
      <x:c r="C76" s="27" t="str">
        <x:v>ko</x:v>
      </x:c>
      <x:c r="D76" s="27" t="str">
        <x:v>[02-003]_김보라(2023)_중국어 지시 화행의 불손 표현 및 기능 연구_불손표현·지시화행.pdf</x:v>
      </x:c>
      <x:c r="E76" s="27" t="str">
        <x:v>PDF</x:v>
      </x:c>
      <x:c r="F76" s="27" t="n">
        <x:v>19</x:v>
      </x:c>
      <x:c r="G76" s="27" t="str">
        <x:v>full</x:v>
      </x:c>
      <x:c r="H76" s="27" t="str">
        <x:v>native</x:v>
      </x:c>
      <x:c r="I76" s="27" t="str">
        <x:v>김보라</x:v>
      </x:c>
      <x:c r="J76" s="27" t="str">
        <x:v>2023</x:v>
      </x:c>
      <x:c r="K76" s="27" t="str">
        <x:v>중국어 지시 화행의 불손 표현 및 기능 연구</x:v>
      </x:c>
      <x:c r="L76" s="27" t="str">
        <x:v>불손표현·지시화행</x:v>
      </x:c>
      <x:c r="M76" s="27" t="str">
        <x:v>unverified</x:v>
      </x:c>
      <x:c r="N76" s="27" t="str">
        <x:v>M0</x:v>
      </x:c>
      <x:c r="O76" s="27" t="str"/>
      <x:c r="P76" s="27"/>
      <x:c r="Q76" s="27"/>
      <x:c r="R76" s="27"/>
      <x:c r="S76" s="27"/>
      <x:c r="T76" s="27"/>
      <x:c r="U76" s="27"/>
      <x:c r="V76" s="27" t="str">
        <x:f>IF(COUNTA(P76:U76)=0,"",SUM(P76:U76))</x:f>
      </x:c>
      <x:c r="W76" s="27" t="str">
        <x:v>02-003</x:v>
      </x:c>
      <x:c r="X76" s="27" t="str">
        <x:v>T1_candidate</x:v>
      </x:c>
      <x:c r="Y76" s="27" t="str">
        <x:v>owned</x:v>
      </x:c>
      <x:c r="Z76" s="27" t="str"/>
      <x:c r="AA76" s="27" t="str"/>
      <x:c r="AB76" s="27" t="str"/>
      <x:c r="AC76" s="27" t="str">
        <x:v>C:\PRAGMA_THESIS_LOCAL\02_문헌\학술문헌\[02-003]_김보라(2023)_중국어 지시 화행의 불손 표현 및 기능 연구_불손표현·지시화행.pdf</x:v>
      </x:c>
      <x:c r="AD76" s="27" t="str">
        <x:v>2026-08-13T20:52:20</x:v>
      </x:c>
      <x:c r="AE76" s="28" t="n">
        <x:v>663956</x:v>
      </x:c>
      <x:c r="AF76" s="27" t="str">
        <x:v>e971631b83aa23f9a055d26ee3f5963dd168690759368f6186065d6864cecb23</x:v>
      </x:c>
      <x:c r="AG76" s="27" t="str"/>
    </x:row>
    <x:row r="77" ht="18" customHeight="1">
      <x:c r="A77" s="27" t="str">
        <x:v>LIT-20260814-076</x:v>
      </x:c>
      <x:c r="B77" s="27" t="str">
        <x:v>02-003</x:v>
      </x:c>
      <x:c r="C77" s="27" t="str">
        <x:v>ko</x:v>
      </x:c>
      <x:c r="D77" s="27" t="str">
        <x:v>[02-003]_김보라(2025)_중국어 지시 화행 속 감사 화행의 담화 전략 연구_감사화행·담화전략.pdf</x:v>
      </x:c>
      <x:c r="E77" s="27" t="str">
        <x:v>PDF</x:v>
      </x:c>
      <x:c r="F77" s="27" t="n">
        <x:v>26</x:v>
      </x:c>
      <x:c r="G77" s="27" t="str">
        <x:v>full</x:v>
      </x:c>
      <x:c r="H77" s="27" t="str">
        <x:v>native</x:v>
      </x:c>
      <x:c r="I77" s="27" t="str">
        <x:v>김보라</x:v>
      </x:c>
      <x:c r="J77" s="27" t="str">
        <x:v>2025</x:v>
      </x:c>
      <x:c r="K77" s="27" t="str">
        <x:v>중국어 지시 화행 속 감사 화행의 담화 전략 연구</x:v>
      </x:c>
      <x:c r="L77" s="27" t="str">
        <x:v>감사화행·담화전략</x:v>
      </x:c>
      <x:c r="M77" s="27" t="str">
        <x:v>unverified</x:v>
      </x:c>
      <x:c r="N77" s="27" t="str">
        <x:v>M0</x:v>
      </x:c>
      <x:c r="O77" s="27" t="str"/>
      <x:c r="P77" s="27"/>
      <x:c r="Q77" s="27"/>
      <x:c r="R77" s="27"/>
      <x:c r="S77" s="27"/>
      <x:c r="T77" s="27"/>
      <x:c r="U77" s="27"/>
      <x:c r="V77" s="27" t="str">
        <x:f>IF(COUNTA(P77:U77)=0,"",SUM(P77:U77))</x:f>
      </x:c>
      <x:c r="W77" s="27" t="str">
        <x:v>02-003</x:v>
      </x:c>
      <x:c r="X77" s="27" t="str">
        <x:v>T1_candidate</x:v>
      </x:c>
      <x:c r="Y77" s="27" t="str">
        <x:v>owned</x:v>
      </x:c>
      <x:c r="Z77" s="27" t="str"/>
      <x:c r="AA77" s="27" t="str"/>
      <x:c r="AB77" s="27" t="str"/>
      <x:c r="AC77" s="27" t="str">
        <x:v>C:\PRAGMA_THESIS_LOCAL\02_문헌\학술문헌\[02-003]_김보라(2025)_중국어 지시 화행 속 감사 화행의 담화 전략 연구_감사화행·담화전략.pdf</x:v>
      </x:c>
      <x:c r="AD77" s="27" t="str">
        <x:v>2026-08-13T20:53:03</x:v>
      </x:c>
      <x:c r="AE77" s="28" t="n">
        <x:v>1077864</x:v>
      </x:c>
      <x:c r="AF77" s="27" t="str">
        <x:v>9e7116e46463551a82ded1cb3c7571a65ebd4381c7dc97ce366aea51dcc85534</x:v>
      </x:c>
      <x:c r="AG77" s="27" t="str"/>
    </x:row>
    <x:row r="78" ht="18" customHeight="1">
      <x:c r="A78" s="27" t="str">
        <x:v>LIT-20260814-077</x:v>
      </x:c>
      <x:c r="B78" s="27" t="str">
        <x:v>02-003</x:v>
      </x:c>
      <x:c r="C78" s="27" t="str">
        <x:v>ko</x:v>
      </x:c>
      <x:c r="D78" s="27" t="str">
        <x:v>[02-003]_김영상 외(2021)_한·중 칭찬 화행의 체면 위협성 대조 연구_한중대조·체면위협.pdf</x:v>
      </x:c>
      <x:c r="E78" s="27" t="str">
        <x:v>PDF</x:v>
      </x:c>
      <x:c r="F78" s="27" t="n">
        <x:v>25</x:v>
      </x:c>
      <x:c r="G78" s="27" t="str">
        <x:v>full</x:v>
      </x:c>
      <x:c r="H78" s="27" t="str">
        <x:v>native</x:v>
      </x:c>
      <x:c r="I78" s="27" t="str">
        <x:v>김영상 외</x:v>
      </x:c>
      <x:c r="J78" s="27" t="str">
        <x:v>2021</x:v>
      </x:c>
      <x:c r="K78" s="27" t="str">
        <x:v>한·중 칭찬 화행의 체면 위협성 대조 연구</x:v>
      </x:c>
      <x:c r="L78" s="27" t="str">
        <x:v>한중대조·체면위협</x:v>
      </x:c>
      <x:c r="M78" s="27" t="str">
        <x:v>unverified</x:v>
      </x:c>
      <x:c r="N78" s="27" t="str">
        <x:v>M0</x:v>
      </x:c>
      <x:c r="O78" s="27" t="str"/>
      <x:c r="P78" s="27"/>
      <x:c r="Q78" s="27"/>
      <x:c r="R78" s="27"/>
      <x:c r="S78" s="27"/>
      <x:c r="T78" s="27"/>
      <x:c r="U78" s="27"/>
      <x:c r="V78" s="27" t="str">
        <x:f>IF(COUNTA(P78:U78)=0,"",SUM(P78:U78))</x:f>
      </x:c>
      <x:c r="W78" s="27" t="str">
        <x:v>02-003</x:v>
      </x:c>
      <x:c r="X78" s="27" t="str">
        <x:v>T1_candidate</x:v>
      </x:c>
      <x:c r="Y78" s="27" t="str">
        <x:v>owned</x:v>
      </x:c>
      <x:c r="Z78" s="27" t="str"/>
      <x:c r="AA78" s="27" t="str"/>
      <x:c r="AB78" s="27" t="str"/>
      <x:c r="AC78" s="27" t="str">
        <x:v>C:\PRAGMA_THESIS_LOCAL\02_문헌\학술문헌\[02-003]_김영상 외(2021)_한·중 칭찬 화행의 체면 위협성 대조 연구_한중대조·체면위협.pdf</x:v>
      </x:c>
      <x:c r="AD78" s="27" t="str">
        <x:v>2026-08-13T21:10:13</x:v>
      </x:c>
      <x:c r="AE78" s="28" t="n">
        <x:v>787534</x:v>
      </x:c>
      <x:c r="AF78" s="27" t="str">
        <x:v>600edfb6325f25c0ee46f9ad8b4483c78a95deb2c44032f13dfb37e2ca279d91</x:v>
      </x:c>
      <x:c r="AG78" s="27" t="str"/>
    </x:row>
    <x:row r="79" ht="18" customHeight="1">
      <x:c r="A79" s="27" t="str">
        <x:v>LIT-20260814-078</x:v>
      </x:c>
      <x:c r="B79" s="27" t="str">
        <x:v>02-003</x:v>
      </x:c>
      <x:c r="C79" s="27" t="str">
        <x:v>ko</x:v>
      </x:c>
      <x:c r="D79" s="27" t="str">
        <x:v>[02-003]_김정은_한․중 대역자료에 나타난 중국어 공손 표현 사용 양상 고찰_한중대역·공손표현.pdf</x:v>
      </x:c>
      <x:c r="E79" s="27" t="str">
        <x:v>PDF</x:v>
      </x:c>
      <x:c r="F79" s="27" t="n">
        <x:v>22</x:v>
      </x:c>
      <x:c r="G79" s="27" t="str">
        <x:v>full</x:v>
      </x:c>
      <x:c r="H79" s="27" t="str">
        <x:v>native</x:v>
      </x:c>
      <x:c r="I79" s="27" t="str">
        <x:v>김정은</x:v>
      </x:c>
      <x:c r="J79" s="27" t="str"/>
      <x:c r="K79" s="27" t="str">
        <x:v>한․중 대역자료에 나타난 중국어 공손 표현 사용 양상 고찰</x:v>
      </x:c>
      <x:c r="L79" s="27" t="str">
        <x:v>한중대역·공손표현</x:v>
      </x:c>
      <x:c r="M79" s="27" t="str">
        <x:v>unverified</x:v>
      </x:c>
      <x:c r="N79" s="27" t="str">
        <x:v>M0</x:v>
      </x:c>
      <x:c r="O79" s="27" t="str"/>
      <x:c r="P79" s="27"/>
      <x:c r="Q79" s="27"/>
      <x:c r="R79" s="27"/>
      <x:c r="S79" s="27"/>
      <x:c r="T79" s="27"/>
      <x:c r="U79" s="27"/>
      <x:c r="V79" s="27" t="str">
        <x:f>IF(COUNTA(P79:U79)=0,"",SUM(P79:U79))</x:f>
      </x:c>
      <x:c r="W79" s="27" t="str">
        <x:v>02-003</x:v>
      </x:c>
      <x:c r="X79" s="27" t="str">
        <x:v>T1_candidate</x:v>
      </x:c>
      <x:c r="Y79" s="27" t="str">
        <x:v>owned</x:v>
      </x:c>
      <x:c r="Z79" s="27" t="str">
        <x:v>year_unverified</x:v>
      </x:c>
      <x:c r="AA79" s="27" t="str"/>
      <x:c r="AB79" s="27" t="str"/>
      <x:c r="AC79" s="27" t="str">
        <x:v>C:\PRAGMA_THESIS_LOCAL\02_문헌\학술문헌\[02-003]_김정은_한․중 대역자료에 나타난 중국어 공손 표현 사용 양상 고찰_한중대역·공손표현.pdf</x:v>
      </x:c>
      <x:c r="AD79" s="27" t="str">
        <x:v>2026-08-13T21:09:22</x:v>
      </x:c>
      <x:c r="AE79" s="28" t="n">
        <x:v>803759</x:v>
      </x:c>
      <x:c r="AF79" s="27" t="str">
        <x:v>59f532812e6e0b3cbd59fc6dda19c25575e2788ce8c9969d0c9b07af67de9791</x:v>
      </x:c>
      <x:c r="AG79" s="27" t="str"/>
    </x:row>
    <x:row r="80" ht="18" customHeight="1">
      <x:c r="A80" s="27" t="str">
        <x:v>LIT-20260814-079</x:v>
      </x:c>
      <x:c r="B80" s="27" t="str">
        <x:v>02-003</x:v>
      </x:c>
      <x:c r="C80" s="27" t="str">
        <x:v>ko</x:v>
      </x:c>
      <x:c r="D80" s="27" t="str">
        <x:v>[02-003]_김정은_한국어와 중국어의 공손표현 대조 분석 부탁화행 중심_한중대조·부탁화행.pdf</x:v>
      </x:c>
      <x:c r="E80" s="27" t="str">
        <x:v>PDF</x:v>
      </x:c>
      <x:c r="F80" s="27" t="n">
        <x:v>19</x:v>
      </x:c>
      <x:c r="G80" s="27" t="str">
        <x:v>full</x:v>
      </x:c>
      <x:c r="H80" s="27" t="str">
        <x:v>native</x:v>
      </x:c>
      <x:c r="I80" s="27" t="str">
        <x:v>김정은</x:v>
      </x:c>
      <x:c r="J80" s="27" t="str"/>
      <x:c r="K80" s="27" t="str">
        <x:v>한국어와 중국어의 공손표현 대조 분석 부탁화행 중심</x:v>
      </x:c>
      <x:c r="L80" s="27" t="str">
        <x:v>한중대조·부탁화행</x:v>
      </x:c>
      <x:c r="M80" s="27" t="str">
        <x:v>unverified</x:v>
      </x:c>
      <x:c r="N80" s="27" t="str">
        <x:v>M0</x:v>
      </x:c>
      <x:c r="O80" s="27" t="str"/>
      <x:c r="P80" s="27"/>
      <x:c r="Q80" s="27"/>
      <x:c r="R80" s="27"/>
      <x:c r="S80" s="27"/>
      <x:c r="T80" s="27"/>
      <x:c r="U80" s="27"/>
      <x:c r="V80" s="27" t="str">
        <x:f>IF(COUNTA(P80:U80)=0,"",SUM(P80:U80))</x:f>
      </x:c>
      <x:c r="W80" s="27" t="str">
        <x:v>02-003</x:v>
      </x:c>
      <x:c r="X80" s="27" t="str">
        <x:v>T1_candidate</x:v>
      </x:c>
      <x:c r="Y80" s="27" t="str">
        <x:v>owned</x:v>
      </x:c>
      <x:c r="Z80" s="27" t="str">
        <x:v>year_unverified</x:v>
      </x:c>
      <x:c r="AA80" s="27" t="str"/>
      <x:c r="AB80" s="27" t="str"/>
      <x:c r="AC80" s="27" t="str">
        <x:v>C:\PRAGMA_THESIS_LOCAL\02_문헌\학술문헌\[02-003]_김정은_한국어와 중국어의 공손표현 대조 분석 부탁화행 중심_한중대조·부탁화행.pdf</x:v>
      </x:c>
      <x:c r="AD80" s="27" t="str">
        <x:v>2026-08-13T21:09:00</x:v>
      </x:c>
      <x:c r="AE80" s="28" t="n">
        <x:v>2199866</x:v>
      </x:c>
      <x:c r="AF80" s="27" t="str">
        <x:v>f0bd2ce3e9e8faa4c797b398224bdcf0afc9fff3ee06b54a3ed1e91d964c402a</x:v>
      </x:c>
      <x:c r="AG80" s="27" t="str"/>
    </x:row>
    <x:row r="81" ht="18" customHeight="1">
      <x:c r="A81" s="27" t="str">
        <x:v>LIT-20260814-080</x:v>
      </x:c>
      <x:c r="B81" s="27" t="str">
        <x:v>02-003</x:v>
      </x:c>
      <x:c r="C81" s="27" t="str">
        <x:v>ko</x:v>
      </x:c>
      <x:c r="D81" s="27" t="str">
        <x:v>[02-003]_김지혜 외(2019)_중국에서의 한국어 요청 화행 교육에 관한 연구 교재 분석_교재분석·요청화행.pdf</x:v>
      </x:c>
      <x:c r="E81" s="27" t="str">
        <x:v>PDF</x:v>
      </x:c>
      <x:c r="F81" s="27" t="n">
        <x:v>19</x:v>
      </x:c>
      <x:c r="G81" s="27" t="str">
        <x:v>full</x:v>
      </x:c>
      <x:c r="H81" s="27" t="str">
        <x:v>native</x:v>
      </x:c>
      <x:c r="I81" s="27" t="str">
        <x:v>김지혜 외</x:v>
      </x:c>
      <x:c r="J81" s="27" t="str">
        <x:v>2019</x:v>
      </x:c>
      <x:c r="K81" s="27" t="str">
        <x:v>중국에서의 한국어 요청 화행 교육에 관한 연구 교재 분석</x:v>
      </x:c>
      <x:c r="L81" s="27" t="str">
        <x:v>교재분석·요청화행</x:v>
      </x:c>
      <x:c r="M81" s="27" t="str">
        <x:v>unverified</x:v>
      </x:c>
      <x:c r="N81" s="27" t="str">
        <x:v>M0</x:v>
      </x:c>
      <x:c r="O81" s="27" t="str"/>
      <x:c r="P81" s="27"/>
      <x:c r="Q81" s="27"/>
      <x:c r="R81" s="27"/>
      <x:c r="S81" s="27"/>
      <x:c r="T81" s="27"/>
      <x:c r="U81" s="27"/>
      <x:c r="V81" s="27" t="str">
        <x:f>IF(COUNTA(P81:U81)=0,"",SUM(P81:U81))</x:f>
      </x:c>
      <x:c r="W81" s="27" t="str">
        <x:v>02-003</x:v>
      </x:c>
      <x:c r="X81" s="27" t="str">
        <x:v>T1_candidate</x:v>
      </x:c>
      <x:c r="Y81" s="27" t="str">
        <x:v>owned</x:v>
      </x:c>
      <x:c r="Z81" s="27" t="str"/>
      <x:c r="AA81" s="27" t="str"/>
      <x:c r="AB81" s="27" t="str"/>
      <x:c r="AC81" s="27" t="str">
        <x:v>C:\PRAGMA_THESIS_LOCAL\02_문헌\학술문헌\[02-003]_김지혜 외(2019)_중국에서의 한국어 요청 화행 교육에 관한 연구 교재 분석_교재분석·요청화행.pdf</x:v>
      </x:c>
      <x:c r="AD81" s="27" t="str">
        <x:v>2026-07-18T11:00:48</x:v>
      </x:c>
      <x:c r="AE81" s="28" t="n">
        <x:v>641947</x:v>
      </x:c>
      <x:c r="AF81" s="27" t="str">
        <x:v>99bedf93c077089fcaaaafafd84bae7f1f6be9a8f18552535ea3bc5b5dbed00a</x:v>
      </x:c>
      <x:c r="AG81" s="27" t="str"/>
    </x:row>
    <x:row r="82" ht="18" customHeight="1">
      <x:c r="A82" s="27" t="str">
        <x:v>LIT-20260814-081</x:v>
      </x:c>
      <x:c r="B82" s="27" t="str">
        <x:v>02-003</x:v>
      </x:c>
      <x:c r="C82" s="27" t="str">
        <x:v>ko</x:v>
      </x:c>
      <x:c r="D82" s="27" t="str">
        <x:v>[02-003]_노란연 외(2024)_성별과 나이에 따른 한·중 칭찬화행 양상 대조 연구_한중대조·칭찬화행.pdf</x:v>
      </x:c>
      <x:c r="E82" s="27" t="str">
        <x:v>PDF</x:v>
      </x:c>
      <x:c r="F82" s="27" t="n">
        <x:v>32</x:v>
      </x:c>
      <x:c r="G82" s="27" t="str">
        <x:v>full</x:v>
      </x:c>
      <x:c r="H82" s="27" t="str">
        <x:v>native</x:v>
      </x:c>
      <x:c r="I82" s="27" t="str">
        <x:v>노란연 외</x:v>
      </x:c>
      <x:c r="J82" s="27" t="str">
        <x:v>2024</x:v>
      </x:c>
      <x:c r="K82" s="27" t="str">
        <x:v>성별과 나이에 따른 한·중 칭찬화행 양상 대조 연구</x:v>
      </x:c>
      <x:c r="L82" s="27" t="str">
        <x:v>한중대조·칭찬화행</x:v>
      </x:c>
      <x:c r="M82" s="27" t="str">
        <x:v>unverified</x:v>
      </x:c>
      <x:c r="N82" s="27" t="str">
        <x:v>M0</x:v>
      </x:c>
      <x:c r="O82" s="27" t="str"/>
      <x:c r="P82" s="27"/>
      <x:c r="Q82" s="27"/>
      <x:c r="R82" s="27"/>
      <x:c r="S82" s="27"/>
      <x:c r="T82" s="27"/>
      <x:c r="U82" s="27"/>
      <x:c r="V82" s="27" t="str">
        <x:f>IF(COUNTA(P82:U82)=0,"",SUM(P82:U82))</x:f>
      </x:c>
      <x:c r="W82" s="27" t="str">
        <x:v>02-003</x:v>
      </x:c>
      <x:c r="X82" s="27" t="str">
        <x:v>T1_candidate</x:v>
      </x:c>
      <x:c r="Y82" s="27" t="str">
        <x:v>owned</x:v>
      </x:c>
      <x:c r="Z82" s="27" t="str"/>
      <x:c r="AA82" s="27" t="str"/>
      <x:c r="AB82" s="27" t="str"/>
      <x:c r="AC82" s="27" t="str">
        <x:v>C:\PRAGMA_THESIS_LOCAL\02_문헌\학술문헌\[02-003]_노란연 외(2024)_성별과 나이에 따른 한·중 칭찬화행 양상 대조 연구_한중대조·칭찬화행.pdf</x:v>
      </x:c>
      <x:c r="AD82" s="27" t="str">
        <x:v>2026-08-13T21:10:28</x:v>
      </x:c>
      <x:c r="AE82" s="28" t="n">
        <x:v>1826315</x:v>
      </x:c>
      <x:c r="AF82" s="27" t="str">
        <x:v>4291b748ce0b0cd6207bc350a232425313fc7e4f1aec51d0689436873b3c7465</x:v>
      </x:c>
      <x:c r="AG82" s="27" t="str"/>
    </x:row>
    <x:row r="83" ht="18" customHeight="1">
      <x:c r="A83" s="27" t="str">
        <x:v>LIT-20260814-082</x:v>
      </x:c>
      <x:c r="B83" s="27" t="str">
        <x:v>02-003</x:v>
      </x:c>
      <x:c r="C83" s="27" t="str">
        <x:v>ko</x:v>
      </x:c>
      <x:c r="D83" s="27" t="str">
        <x:v>[02-003]_손세모돌(2012)_한국어와 중국어의 사과표현 대조 연구_한중대조·사과화행.pdf</x:v>
      </x:c>
      <x:c r="E83" s="27" t="str">
        <x:v>PDF</x:v>
      </x:c>
      <x:c r="F83" s="27" t="n">
        <x:v>67</x:v>
      </x:c>
      <x:c r="G83" s="27" t="str">
        <x:v>full</x:v>
      </x:c>
      <x:c r="H83" s="27" t="str">
        <x:v>native</x:v>
      </x:c>
      <x:c r="I83" s="27" t="str">
        <x:v>손세모돌</x:v>
      </x:c>
      <x:c r="J83" s="27" t="str">
        <x:v>2012</x:v>
      </x:c>
      <x:c r="K83" s="27" t="str">
        <x:v>한국어와 중국어의 사과표현 대조 연구</x:v>
      </x:c>
      <x:c r="L83" s="27" t="str">
        <x:v>한중대조·사과화행</x:v>
      </x:c>
      <x:c r="M83" s="27" t="str">
        <x:v>unverified</x:v>
      </x:c>
      <x:c r="N83" s="27" t="str">
        <x:v>M0</x:v>
      </x:c>
      <x:c r="O83" s="27" t="str"/>
      <x:c r="P83" s="27"/>
      <x:c r="Q83" s="27"/>
      <x:c r="R83" s="27"/>
      <x:c r="S83" s="27"/>
      <x:c r="T83" s="27"/>
      <x:c r="U83" s="27"/>
      <x:c r="V83" s="27" t="str">
        <x:f>IF(COUNTA(P83:U83)=0,"",SUM(P83:U83))</x:f>
      </x:c>
      <x:c r="W83" s="27" t="str">
        <x:v>02-003</x:v>
      </x:c>
      <x:c r="X83" s="27" t="str">
        <x:v>T1_candidate</x:v>
      </x:c>
      <x:c r="Y83" s="27" t="str">
        <x:v>owned</x:v>
      </x:c>
      <x:c r="Z83" s="27" t="str"/>
      <x:c r="AA83" s="27" t="str"/>
      <x:c r="AB83" s="27" t="str"/>
      <x:c r="AC83" s="27" t="str">
        <x:v>C:\PRAGMA_THESIS_LOCAL\02_문헌\학술문헌\[02-003]_손세모돌(2012)_한국어와 중국어의 사과표현 대조 연구_한중대조·사과화행.pdf</x:v>
      </x:c>
      <x:c r="AD83" s="27" t="str">
        <x:v>2026-08-13T21:08:24</x:v>
      </x:c>
      <x:c r="AE83" s="28" t="n">
        <x:v>1581813</x:v>
      </x:c>
      <x:c r="AF83" s="27" t="str">
        <x:v>e040d6118532b2a979c125aec7bce30e69b4b228139f2f3d7c2dfb1f30cf1468</x:v>
      </x:c>
      <x:c r="AG83" s="27" t="str"/>
    </x:row>
    <x:row r="84" ht="18" customHeight="1">
      <x:c r="A84" s="27" t="str">
        <x:v>LIT-20260814-083</x:v>
      </x:c>
      <x:c r="B84" s="27" t="str">
        <x:v>02-003</x:v>
      </x:c>
      <x:c r="C84" s="27" t="str">
        <x:v>ko</x:v>
      </x:c>
      <x:c r="D84" s="27" t="str">
        <x:v>[02-003]_왕중기 외(2022)_객관적 이유 유무 상황에 따른 한·중 대학생의 거절 화행 전략 비교 연구_한중대조·거절화행.pdf</x:v>
      </x:c>
      <x:c r="E84" s="27" t="str">
        <x:v>PDF</x:v>
      </x:c>
      <x:c r="F84" s="27" t="n">
        <x:v>17</x:v>
      </x:c>
      <x:c r="G84" s="27" t="str">
        <x:v>full</x:v>
      </x:c>
      <x:c r="H84" s="27" t="str">
        <x:v>native</x:v>
      </x:c>
      <x:c r="I84" s="27" t="str">
        <x:v>왕중기 외</x:v>
      </x:c>
      <x:c r="J84" s="27" t="str">
        <x:v>2022</x:v>
      </x:c>
      <x:c r="K84" s="27" t="str">
        <x:v>객관적 이유 유무 상황에 따른 한·중 대학생의 거절 화행 전략 비교 연구</x:v>
      </x:c>
      <x:c r="L84" s="27" t="str">
        <x:v>한중대조·거절화행</x:v>
      </x:c>
      <x:c r="M84" s="27" t="str">
        <x:v>unverified</x:v>
      </x:c>
      <x:c r="N84" s="27" t="str">
        <x:v>M0</x:v>
      </x:c>
      <x:c r="O84" s="27" t="str"/>
      <x:c r="P84" s="27"/>
      <x:c r="Q84" s="27"/>
      <x:c r="R84" s="27"/>
      <x:c r="S84" s="27"/>
      <x:c r="T84" s="27"/>
      <x:c r="U84" s="27"/>
      <x:c r="V84" s="27" t="str">
        <x:f>IF(COUNTA(P84:U84)=0,"",SUM(P84:U84))</x:f>
      </x:c>
      <x:c r="W84" s="27" t="str">
        <x:v>02-003</x:v>
      </x:c>
      <x:c r="X84" s="27" t="str">
        <x:v>T1_candidate</x:v>
      </x:c>
      <x:c r="Y84" s="27" t="str">
        <x:v>owned</x:v>
      </x:c>
      <x:c r="Z84" s="27" t="str"/>
      <x:c r="AA84" s="27" t="str"/>
      <x:c r="AB84" s="27" t="str"/>
      <x:c r="AC84" s="27" t="str">
        <x:v>C:\PRAGMA_THESIS_LOCAL\02_문헌\학술문헌\[02-003]_왕중기 외(2022)_객관적 이유 유무 상황에 따른 한·중 대학생의 거절 화행 전략 비교 연구_한중대조·거절화행.pdf</x:v>
      </x:c>
      <x:c r="AD84" s="27" t="str">
        <x:v>2026-05-09T19:46:59</x:v>
      </x:c>
      <x:c r="AE84" s="28" t="n">
        <x:v>361602</x:v>
      </x:c>
      <x:c r="AF84" s="27" t="str">
        <x:v>869eed9eca60af1f88384adfabc2373f641ff4d08996722c2a426bc38a6a2fd3</x:v>
      </x:c>
      <x:c r="AG84" s="27" t="str"/>
    </x:row>
    <x:row r="85" ht="18" customHeight="1">
      <x:c r="A85" s="27" t="str">
        <x:v>LIT-20260814-084</x:v>
      </x:c>
      <x:c r="B85" s="27" t="str">
        <x:v>02-003</x:v>
      </x:c>
      <x:c r="C85" s="27" t="str">
        <x:v>ko</x:v>
      </x:c>
      <x:c r="D85" s="27" t="str">
        <x:v>[02-003]_유류 외(2022)_한·중 불평 화행의 비교문화 화용론 연구 의미공식 중심_한중대조·불평화행.pdf</x:v>
      </x:c>
      <x:c r="E85" s="27" t="str">
        <x:v>PDF</x:v>
      </x:c>
      <x:c r="F85" s="27" t="n">
        <x:v>36</x:v>
      </x:c>
      <x:c r="G85" s="27" t="str">
        <x:v>full</x:v>
      </x:c>
      <x:c r="H85" s="27" t="str">
        <x:v>native</x:v>
      </x:c>
      <x:c r="I85" s="27" t="str">
        <x:v>유류 외</x:v>
      </x:c>
      <x:c r="J85" s="27" t="str">
        <x:v>2022</x:v>
      </x:c>
      <x:c r="K85" s="27" t="str">
        <x:v>한·중 불평 화행의 비교문화 화용론 연구 의미공식 중심</x:v>
      </x:c>
      <x:c r="L85" s="27" t="str">
        <x:v>한중대조·불평화행</x:v>
      </x:c>
      <x:c r="M85" s="27" t="str">
        <x:v>unverified</x:v>
      </x:c>
      <x:c r="N85" s="27" t="str">
        <x:v>M0</x:v>
      </x:c>
      <x:c r="O85" s="27" t="str"/>
      <x:c r="P85" s="27"/>
      <x:c r="Q85" s="27"/>
      <x:c r="R85" s="27"/>
      <x:c r="S85" s="27"/>
      <x:c r="T85" s="27"/>
      <x:c r="U85" s="27"/>
      <x:c r="V85" s="27" t="str">
        <x:f>IF(COUNTA(P85:U85)=0,"",SUM(P85:U85))</x:f>
      </x:c>
      <x:c r="W85" s="27" t="str">
        <x:v>02-003</x:v>
      </x:c>
      <x:c r="X85" s="27" t="str">
        <x:v>T1_candidate</x:v>
      </x:c>
      <x:c r="Y85" s="27" t="str">
        <x:v>owned</x:v>
      </x:c>
      <x:c r="Z85" s="27" t="str"/>
      <x:c r="AA85" s="27" t="str"/>
      <x:c r="AB85" s="27" t="str"/>
      <x:c r="AC85" s="27" t="str">
        <x:v>C:\PRAGMA_THESIS_LOCAL\02_문헌\학술문헌\[02-003]_유류 외(2022)_한·중 불평 화행의 비교문화 화용론 연구 의미공식 중심_한중대조·불평화행.pdf</x:v>
      </x:c>
      <x:c r="AD85" s="27" t="str">
        <x:v>2026-08-13T21:09:45</x:v>
      </x:c>
      <x:c r="AE85" s="28" t="n">
        <x:v>431387</x:v>
      </x:c>
      <x:c r="AF85" s="27" t="str">
        <x:v>8c3819a39a6b41a95d7cf66e7d24bb85c7a4d7c79d84127292d33bc910ea8f6a</x:v>
      </x:c>
      <x:c r="AG85" s="27" t="str"/>
    </x:row>
    <x:row r="86" ht="18" customHeight="1">
      <x:c r="A86" s="27" t="str">
        <x:v>LIT-20260814-085</x:v>
      </x:c>
      <x:c r="B86" s="27" t="str">
        <x:v>02-003</x:v>
      </x:c>
      <x:c r="C86" s="27" t="str">
        <x:v>ko</x:v>
      </x:c>
      <x:c r="D86" s="27" t="str">
        <x:v>[02-003]_윤미라(2017)_직장內 한국어 모어 화자와 중국어 모어 화자의 거절 화행 전략 비교 연구_한중대조·거절화행.pdf</x:v>
      </x:c>
      <x:c r="E86" s="27" t="str">
        <x:v>PDF</x:v>
      </x:c>
      <x:c r="F86" s="27" t="n">
        <x:v>27</x:v>
      </x:c>
      <x:c r="G86" s="27" t="str">
        <x:v>full</x:v>
      </x:c>
      <x:c r="H86" s="27" t="str">
        <x:v>native</x:v>
      </x:c>
      <x:c r="I86" s="27" t="str">
        <x:v>윤미라</x:v>
      </x:c>
      <x:c r="J86" s="27" t="str">
        <x:v>2017</x:v>
      </x:c>
      <x:c r="K86" s="27" t="str">
        <x:v>직장內 한국어 모어 화자와 중국어 모어 화자의 거절 화행 전략 비교 연구</x:v>
      </x:c>
      <x:c r="L86" s="27" t="str">
        <x:v>한중대조·거절화행</x:v>
      </x:c>
      <x:c r="M86" s="27" t="str">
        <x:v>unverified</x:v>
      </x:c>
      <x:c r="N86" s="27" t="str">
        <x:v>M0</x:v>
      </x:c>
      <x:c r="O86" s="27" t="str"/>
      <x:c r="P86" s="27"/>
      <x:c r="Q86" s="27"/>
      <x:c r="R86" s="27"/>
      <x:c r="S86" s="27"/>
      <x:c r="T86" s="27"/>
      <x:c r="U86" s="27"/>
      <x:c r="V86" s="27" t="str">
        <x:f>IF(COUNTA(P86:U86)=0,"",SUM(P86:U86))</x:f>
      </x:c>
      <x:c r="W86" s="27" t="str">
        <x:v>02-003</x:v>
      </x:c>
      <x:c r="X86" s="27" t="str">
        <x:v>T1_candidate</x:v>
      </x:c>
      <x:c r="Y86" s="27" t="str">
        <x:v>owned</x:v>
      </x:c>
      <x:c r="Z86" s="27" t="str"/>
      <x:c r="AA86" s="27" t="str"/>
      <x:c r="AB86" s="27" t="str"/>
      <x:c r="AC86" s="27" t="str">
        <x:v>C:\PRAGMA_THESIS_LOCAL\02_문헌\학술문헌\[02-003]_윤미라(2017)_직장內 한국어 모어 화자와 중국어 모어 화자의 거절 화행 전략 비교 연구_한중대조·거절화행.pdf</x:v>
      </x:c>
      <x:c r="AD86" s="27" t="str">
        <x:v>2026-08-13T20:31:13</x:v>
      </x:c>
      <x:c r="AE86" s="28" t="n">
        <x:v>1367796</x:v>
      </x:c>
      <x:c r="AF86" s="27" t="str">
        <x:v>6befc0f081a5ef47f76806921e7deb0783199014205a5cc04491c88b464c9c7f</x:v>
      </x:c>
      <x:c r="AG86" s="27" t="str"/>
    </x:row>
    <x:row r="87" ht="18" customHeight="1">
      <x:c r="A87" s="27" t="str">
        <x:v>LIT-20260814-086</x:v>
      </x:c>
      <x:c r="B87" s="27" t="str">
        <x:v>02-003</x:v>
      </x:c>
      <x:c r="C87" s="27" t="str">
        <x:v>ko</x:v>
      </x:c>
      <x:c r="D87" s="27" t="str">
        <x:v>[02-003]_이명희(2010)_한국어와 중국어의 요청 화행 대조 연구_한중대조·요청화행.pdf</x:v>
      </x:c>
      <x:c r="E87" s="27" t="str">
        <x:v>PDF</x:v>
      </x:c>
      <x:c r="F87" s="27" t="n">
        <x:v>32</x:v>
      </x:c>
      <x:c r="G87" s="27" t="str">
        <x:v>full</x:v>
      </x:c>
      <x:c r="H87" s="27" t="str">
        <x:v>native</x:v>
      </x:c>
      <x:c r="I87" s="27" t="str">
        <x:v>이명희</x:v>
      </x:c>
      <x:c r="J87" s="27" t="str">
        <x:v>2010</x:v>
      </x:c>
      <x:c r="K87" s="27" t="str">
        <x:v>한국어와 중국어의 요청 화행 대조 연구</x:v>
      </x:c>
      <x:c r="L87" s="27" t="str">
        <x:v>한중대조·요청화행</x:v>
      </x:c>
      <x:c r="M87" s="27" t="str">
        <x:v>unverified</x:v>
      </x:c>
      <x:c r="N87" s="27" t="str">
        <x:v>M0</x:v>
      </x:c>
      <x:c r="O87" s="27" t="str"/>
      <x:c r="P87" s="27"/>
      <x:c r="Q87" s="27"/>
      <x:c r="R87" s="27"/>
      <x:c r="S87" s="27"/>
      <x:c r="T87" s="27"/>
      <x:c r="U87" s="27"/>
      <x:c r="V87" s="27" t="str">
        <x:f>IF(COUNTA(P87:U87)=0,"",SUM(P87:U87))</x:f>
      </x:c>
      <x:c r="W87" s="27" t="str">
        <x:v>02-003</x:v>
      </x:c>
      <x:c r="X87" s="27" t="str">
        <x:v>T1_candidate</x:v>
      </x:c>
      <x:c r="Y87" s="27" t="str">
        <x:v>owned</x:v>
      </x:c>
      <x:c r="Z87" s="27" t="str"/>
      <x:c r="AA87" s="27" t="str"/>
      <x:c r="AB87" s="27" t="str"/>
      <x:c r="AC87" s="27" t="str">
        <x:v>C:\PRAGMA_THESIS_LOCAL\02_문헌\학술문헌\[02-003]_이명희(2010)_한국어와 중국어의 요청 화행 대조 연구_한중대조·요청화행.pdf</x:v>
      </x:c>
      <x:c r="AD87" s="27" t="str">
        <x:v>2026-08-13T20:27:01</x:v>
      </x:c>
      <x:c r="AE87" s="28" t="n">
        <x:v>502582</x:v>
      </x:c>
      <x:c r="AF87" s="27" t="str">
        <x:v>384961ff246897cac8ee7494199e2e92cdf8e62a0409ec0c73acc77f7b4e2db2</x:v>
      </x:c>
      <x:c r="AG87" s="27" t="str"/>
    </x:row>
    <x:row r="88" ht="18" customHeight="1">
      <x:c r="A88" s="27" t="str">
        <x:v>LIT-20260814-087</x:v>
      </x:c>
      <x:c r="B88" s="27" t="str">
        <x:v>02-003</x:v>
      </x:c>
      <x:c r="C88" s="27" t="str">
        <x:v>ko</x:v>
      </x:c>
      <x:c r="D88" s="27" t="str">
        <x:v>[02-003]_임소정(2015)_시나리오 접근법을 통한 중국어 요청 화행의 유형 및 특징 분석_관습적간접·요청화행.pdf</x:v>
      </x:c>
      <x:c r="E88" s="27" t="str">
        <x:v>PDF</x:v>
      </x:c>
      <x:c r="F88" s="27" t="n">
        <x:v>19</x:v>
      </x:c>
      <x:c r="G88" s="27" t="str">
        <x:v>full</x:v>
      </x:c>
      <x:c r="H88" s="27" t="str">
        <x:v>native</x:v>
      </x:c>
      <x:c r="I88" s="27" t="str">
        <x:v>임소정</x:v>
      </x:c>
      <x:c r="J88" s="27" t="str">
        <x:v>2015</x:v>
      </x:c>
      <x:c r="K88" s="27" t="str">
        <x:v>시나리오 접근법을 통한 중국어 요청 화행의 유형 및 특징 분석</x:v>
      </x:c>
      <x:c r="L88" s="27" t="str">
        <x:v>관습적간접·요청화행</x:v>
      </x:c>
      <x:c r="M88" s="27" t="str">
        <x:v>unverified</x:v>
      </x:c>
      <x:c r="N88" s="27" t="str">
        <x:v>M0</x:v>
      </x:c>
      <x:c r="O88" s="27" t="str"/>
      <x:c r="P88" s="27"/>
      <x:c r="Q88" s="27"/>
      <x:c r="R88" s="27"/>
      <x:c r="S88" s="27"/>
      <x:c r="T88" s="27"/>
      <x:c r="U88" s="27"/>
      <x:c r="V88" s="27" t="str">
        <x:f>IF(COUNTA(P88:U88)=0,"",SUM(P88:U88))</x:f>
      </x:c>
      <x:c r="W88" s="27" t="str">
        <x:v>02-003</x:v>
      </x:c>
      <x:c r="X88" s="27" t="str">
        <x:v>T1_candidate</x:v>
      </x:c>
      <x:c r="Y88" s="27" t="str">
        <x:v>owned</x:v>
      </x:c>
      <x:c r="Z88" s="27" t="str"/>
      <x:c r="AA88" s="27" t="str"/>
      <x:c r="AB88" s="27" t="str"/>
      <x:c r="AC88" s="27" t="str">
        <x:v>C:\PRAGMA_THESIS_LOCAL\02_문헌\학술문헌\[02-003]_임소정(2015)_시나리오 접근법을 통한 중국어 요청 화행의 유형 및 특징 분석_관습적간접·요청화행.pdf</x:v>
      </x:c>
      <x:c r="AD88" s="27" t="str">
        <x:v>2026-08-13T20:30:30</x:v>
      </x:c>
      <x:c r="AE88" s="28" t="n">
        <x:v>401521</x:v>
      </x:c>
      <x:c r="AF88" s="27" t="str">
        <x:v>3d12c4408fa5a599717958800c886d609b58a43cf78d3ecb6a88eaa1d3cc8d22</x:v>
      </x:c>
      <x:c r="AG88" s="27" t="str"/>
    </x:row>
    <x:row r="89" ht="18" customHeight="1">
      <x:c r="A89" s="27" t="str">
        <x:v>LIT-20260814-088</x:v>
      </x:c>
      <x:c r="B89" s="27" t="str">
        <x:v>02-003</x:v>
      </x:c>
      <x:c r="C89" s="27" t="str">
        <x:v>ko</x:v>
      </x:c>
      <x:c r="D89" s="27" t="str">
        <x:v>[02-003]_차미령 외(2025)_한·중 불평 화행 비교 연구 온라인 댓글 전략 분석_한중대조·불평화행.pdf</x:v>
      </x:c>
      <x:c r="E89" s="27" t="str">
        <x:v>PDF</x:v>
      </x:c>
      <x:c r="F89" s="27" t="n">
        <x:v>32</x:v>
      </x:c>
      <x:c r="G89" s="27" t="str">
        <x:v>full</x:v>
      </x:c>
      <x:c r="H89" s="27" t="str">
        <x:v>native</x:v>
      </x:c>
      <x:c r="I89" s="27" t="str">
        <x:v>차미령 외</x:v>
      </x:c>
      <x:c r="J89" s="27" t="str">
        <x:v>2025</x:v>
      </x:c>
      <x:c r="K89" s="27" t="str">
        <x:v>한·중 불평 화행 비교 연구 온라인 댓글 전략 분석</x:v>
      </x:c>
      <x:c r="L89" s="27" t="str">
        <x:v>한중대조·불평화행</x:v>
      </x:c>
      <x:c r="M89" s="27" t="str">
        <x:v>unverified</x:v>
      </x:c>
      <x:c r="N89" s="27" t="str">
        <x:v>M0</x:v>
      </x:c>
      <x:c r="O89" s="27" t="str"/>
      <x:c r="P89" s="27"/>
      <x:c r="Q89" s="27"/>
      <x:c r="R89" s="27"/>
      <x:c r="S89" s="27"/>
      <x:c r="T89" s="27"/>
      <x:c r="U89" s="27"/>
      <x:c r="V89" s="27" t="str">
        <x:f>IF(COUNTA(P89:U89)=0,"",SUM(P89:U89))</x:f>
      </x:c>
      <x:c r="W89" s="27" t="str">
        <x:v>02-003</x:v>
      </x:c>
      <x:c r="X89" s="27" t="str">
        <x:v>T1_candidate</x:v>
      </x:c>
      <x:c r="Y89" s="27" t="str">
        <x:v>owned</x:v>
      </x:c>
      <x:c r="Z89" s="27" t="str"/>
      <x:c r="AA89" s="27" t="str"/>
      <x:c r="AB89" s="27" t="str"/>
      <x:c r="AC89" s="27" t="str">
        <x:v>C:\PRAGMA_THESIS_LOCAL\02_문헌\학술문헌\[02-003]_차미령 외(2025)_한·중 불평 화행 비교 연구 온라인 댓글 전략 분석_한중대조·불평화행.pdf</x:v>
      </x:c>
      <x:c r="AD89" s="27" t="str">
        <x:v>2026-07-18T11:02:52</x:v>
      </x:c>
      <x:c r="AE89" s="28" t="n">
        <x:v>948355</x:v>
      </x:c>
      <x:c r="AF89" s="27" t="str">
        <x:v>158b790ec35eecf66bb696f45b0751ea5e11673c2a794062c1c3eb699bec71c3</x:v>
      </x:c>
      <x:c r="AG89" s="27" t="str"/>
    </x:row>
    <x:row r="90" ht="18" customHeight="1">
      <x:c r="A90" s="27" t="str">
        <x:v>LIT-20260814-089</x:v>
      </x:c>
      <x:c r="B90" s="27" t="str">
        <x:v>02-003</x:v>
      </x:c>
      <x:c r="C90" s="27" t="str">
        <x:v>ko</x:v>
      </x:c>
      <x:c r="D90" s="27" t="str">
        <x:v>[02-003]_채춘옥(2015)_한·중언어에서 요청 화행과 거절 화행의 대조연구_한중대조·간접화행.pdf</x:v>
      </x:c>
      <x:c r="E90" s="27" t="str">
        <x:v>PDF</x:v>
      </x:c>
      <x:c r="F90" s="27" t="n">
        <x:v>31</x:v>
      </x:c>
      <x:c r="G90" s="27" t="str">
        <x:v>full</x:v>
      </x:c>
      <x:c r="H90" s="27" t="str">
        <x:v>native</x:v>
      </x:c>
      <x:c r="I90" s="27" t="str">
        <x:v>채춘옥</x:v>
      </x:c>
      <x:c r="J90" s="27" t="str">
        <x:v>2015</x:v>
      </x:c>
      <x:c r="K90" s="27" t="str">
        <x:v>한·중언어에서 요청 화행과 거절 화행의 대조연구</x:v>
      </x:c>
      <x:c r="L90" s="27" t="str">
        <x:v>한중대조·간접화행</x:v>
      </x:c>
      <x:c r="M90" s="27" t="str">
        <x:v>unverified</x:v>
      </x:c>
      <x:c r="N90" s="27" t="str">
        <x:v>M0</x:v>
      </x:c>
      <x:c r="O90" s="27" t="str"/>
      <x:c r="P90" s="27"/>
      <x:c r="Q90" s="27"/>
      <x:c r="R90" s="27"/>
      <x:c r="S90" s="27"/>
      <x:c r="T90" s="27"/>
      <x:c r="U90" s="27"/>
      <x:c r="V90" s="27" t="str">
        <x:f>IF(COUNTA(P90:U90)=0,"",SUM(P90:U90))</x:f>
      </x:c>
      <x:c r="W90" s="27" t="str">
        <x:v>02-003</x:v>
      </x:c>
      <x:c r="X90" s="27" t="str">
        <x:v>T1_candidate</x:v>
      </x:c>
      <x:c r="Y90" s="27" t="str">
        <x:v>owned</x:v>
      </x:c>
      <x:c r="Z90" s="27" t="str"/>
      <x:c r="AA90" s="27" t="str"/>
      <x:c r="AB90" s="27" t="str"/>
      <x:c r="AC90" s="27" t="str">
        <x:v>C:\PRAGMA_THESIS_LOCAL\02_문헌\학술문헌\[02-003]_채춘옥(2015)_한·중언어에서 요청 화행과 거절 화행의 대조연구_한중대조·간접화행.pdf</x:v>
      </x:c>
      <x:c r="AD90" s="27" t="str">
        <x:v>2026-08-13T20:28:41</x:v>
      </x:c>
      <x:c r="AE90" s="28" t="n">
        <x:v>967528</x:v>
      </x:c>
      <x:c r="AF90" s="27" t="str">
        <x:v>528b2611d8f337931768864c10fa503eef20b599f96df4ff2b807b805d4f8403</x:v>
      </x:c>
      <x:c r="AG90" s="27" t="str"/>
    </x:row>
    <x:row r="91" ht="18" customHeight="1">
      <x:c r="A91" s="27" t="str">
        <x:v>LIT-20260814-090</x:v>
      </x:c>
      <x:c r="B91" s="27" t="str">
        <x:v>02-003</x:v>
      </x:c>
      <x:c r="C91" s="27" t="str">
        <x:v>ko</x:v>
      </x:c>
      <x:c r="D91" s="27" t="str">
        <x:v>[02-003]_최은재(2018)_한국학생의 중국어 거절전략 사용에 대한 조사 연구_한국인학습자·거절전략.pdf</x:v>
      </x:c>
      <x:c r="E91" s="27" t="str">
        <x:v>PDF</x:v>
      </x:c>
      <x:c r="F91" s="27" t="n">
        <x:v>36</x:v>
      </x:c>
      <x:c r="G91" s="27" t="str">
        <x:v>full</x:v>
      </x:c>
      <x:c r="H91" s="27" t="str">
        <x:v>native</x:v>
      </x:c>
      <x:c r="I91" s="27" t="str">
        <x:v>최은재</x:v>
      </x:c>
      <x:c r="J91" s="27" t="str">
        <x:v>2018</x:v>
      </x:c>
      <x:c r="K91" s="27" t="str">
        <x:v>한국학생의 중국어 거절전략 사용에 대한 조사 연구</x:v>
      </x:c>
      <x:c r="L91" s="27" t="str">
        <x:v>한국인학습자·거절전략</x:v>
      </x:c>
      <x:c r="M91" s="27" t="str">
        <x:v>unverified</x:v>
      </x:c>
      <x:c r="N91" s="27" t="str">
        <x:v>M0</x:v>
      </x:c>
      <x:c r="O91" s="27" t="str"/>
      <x:c r="P91" s="27"/>
      <x:c r="Q91" s="27"/>
      <x:c r="R91" s="27"/>
      <x:c r="S91" s="27"/>
      <x:c r="T91" s="27"/>
      <x:c r="U91" s="27"/>
      <x:c r="V91" s="27" t="str">
        <x:f>IF(COUNTA(P91:U91)=0,"",SUM(P91:U91))</x:f>
      </x:c>
      <x:c r="W91" s="27" t="str">
        <x:v>02-003</x:v>
      </x:c>
      <x:c r="X91" s="27" t="str">
        <x:v>T1_candidate</x:v>
      </x:c>
      <x:c r="Y91" s="27" t="str">
        <x:v>owned</x:v>
      </x:c>
      <x:c r="Z91" s="27" t="str"/>
      <x:c r="AA91" s="27" t="str"/>
      <x:c r="AB91" s="27" t="str"/>
      <x:c r="AC91" s="27" t="str">
        <x:v>C:\PRAGMA_THESIS_LOCAL\02_문헌\학술문헌\[02-003]_최은재(2018)_한국학생의 중국어 거절전략 사용에 대한 조사 연구_한국인학습자·거절전략.pdf</x:v>
      </x:c>
      <x:c r="AD91" s="27" t="str">
        <x:v>2026-08-13T20:31:42</x:v>
      </x:c>
      <x:c r="AE91" s="28" t="n">
        <x:v>791242</x:v>
      </x:c>
      <x:c r="AF91" s="27" t="str">
        <x:v>24b1dd874f2035eed0fdce13a2c38202a2dff8166f5f2a86ad3d10aec4625e82</x:v>
      </x:c>
      <x:c r="AG91" s="27" t="str"/>
    </x:row>
    <x:row r="92" ht="18" customHeight="1">
      <x:c r="A92" s="27" t="str">
        <x:v>LIT-20260814-091</x:v>
      </x:c>
      <x:c r="B92" s="27" t="str">
        <x:v>02-004</x:v>
      </x:c>
      <x:c r="C92" s="27" t="str">
        <x:v>en</x:v>
      </x:c>
      <x:c r="D92" s="27" t="str">
        <x:v>[02-004]_Ajabshir(2022)_입력강화·입력홍수·산출기반 교수 비교 (초록만)_교수효과·산출기반.txt</x:v>
      </x:c>
      <x:c r="E92" s="27" t="str">
        <x:v>TXT</x:v>
      </x:c>
      <x:c r="F92" s="27"/>
      <x:c r="G92" s="27" t="str">
        <x:v>excerpt</x:v>
      </x:c>
      <x:c r="H92" s="27" t="str">
        <x:v>native</x:v>
      </x:c>
      <x:c r="I92" s="27" t="str">
        <x:v>Ajabshir</x:v>
      </x:c>
      <x:c r="J92" s="27" t="str">
        <x:v>2022</x:v>
      </x:c>
      <x:c r="K92" s="27" t="str">
        <x:v>입력강화·입력홍수·산출기반 교수 비교 (초록만)</x:v>
      </x:c>
      <x:c r="L92" s="27" t="str">
        <x:v>교수효과·산출기반</x:v>
      </x:c>
      <x:c r="M92" s="27" t="str">
        <x:v>unverified</x:v>
      </x:c>
      <x:c r="N92" s="27" t="str">
        <x:v>M0</x:v>
      </x:c>
      <x:c r="O92" s="27" t="str"/>
      <x:c r="P92" s="27"/>
      <x:c r="Q92" s="27"/>
      <x:c r="R92" s="27"/>
      <x:c r="S92" s="27"/>
      <x:c r="T92" s="27"/>
      <x:c r="U92" s="27"/>
      <x:c r="V92" s="27" t="str">
        <x:f>IF(COUNTA(P92:U92)=0,"",SUM(P92:U92))</x:f>
      </x:c>
      <x:c r="W92" s="27" t="str">
        <x:v>02-004</x:v>
      </x:c>
      <x:c r="X92" s="27" t="str">
        <x:v>T1_candidate</x:v>
      </x:c>
      <x:c r="Y92" s="27" t="str">
        <x:v>owned</x:v>
      </x:c>
      <x:c r="Z92" s="27" t="str"/>
      <x:c r="AA92" s="27" t="str"/>
      <x:c r="AB92" s="27" t="str"/>
      <x:c r="AC92" s="27" t="str">
        <x:v>C:\PRAGMA_THESIS_LOCAL\02_문헌\학술문헌\[02-004]_Ajabshir(2022)_입력강화·입력홍수·산출기반 교수 비교 (초록만)_교수효과·산출기반.txt</x:v>
      </x:c>
      <x:c r="AD92" s="27" t="str">
        <x:v>2026-08-13T17:06:14</x:v>
      </x:c>
      <x:c r="AE92" s="28" t="n">
        <x:v>1311</x:v>
      </x:c>
      <x:c r="AF92" s="27" t="str">
        <x:v>9f4bfa46ff9645e4c47ee363fbf10e0752c3ea506997f0283fbb7d0ea39a9e51</x:v>
      </x:c>
      <x:c r="AG92" s="27" t="str"/>
    </x:row>
    <x:row r="93" ht="18" customHeight="1">
      <x:c r="A93" s="27" t="str">
        <x:v>LIT-20260814-092</x:v>
      </x:c>
      <x:c r="B93" s="27" t="str">
        <x:v>02-004</x:v>
      </x:c>
      <x:c r="C93" s="27" t="str">
        <x:v>en</x:v>
      </x:c>
      <x:c r="D93" s="27" t="str">
        <x:v>[02-004]_Bardovi-Harlig et al.(2015)_The effect of instruction on pragmatic routines in academic discussion_교수효과·관례표현.pdf</x:v>
      </x:c>
      <x:c r="E93" s="27" t="str">
        <x:v>PDF</x:v>
      </x:c>
      <x:c r="F93" s="27" t="n">
        <x:v>27</x:v>
      </x:c>
      <x:c r="G93" s="27" t="str">
        <x:v>full</x:v>
      </x:c>
      <x:c r="H93" s="27" t="str">
        <x:v>native</x:v>
      </x:c>
      <x:c r="I93" s="27" t="str">
        <x:v>Bardovi-Harlig et al.</x:v>
      </x:c>
      <x:c r="J93" s="27" t="str">
        <x:v>2015</x:v>
      </x:c>
      <x:c r="K93" s="27" t="str">
        <x:v>The effect of instruction on pragmatic routines in academic discussion</x:v>
      </x:c>
      <x:c r="L93" s="27" t="str">
        <x:v>교수효과·관례표현</x:v>
      </x:c>
      <x:c r="M93" s="27" t="str">
        <x:v>unverified</x:v>
      </x:c>
      <x:c r="N93" s="27" t="str">
        <x:v>M0</x:v>
      </x:c>
      <x:c r="O93" s="27" t="str"/>
      <x:c r="P93" s="27"/>
      <x:c r="Q93" s="27"/>
      <x:c r="R93" s="27"/>
      <x:c r="S93" s="27"/>
      <x:c r="T93" s="27"/>
      <x:c r="U93" s="27"/>
      <x:c r="V93" s="27" t="str">
        <x:f>IF(COUNTA(P93:U93)=0,"",SUM(P93:U93))</x:f>
      </x:c>
      <x:c r="W93" s="27" t="str">
        <x:v>02-004</x:v>
      </x:c>
      <x:c r="X93" s="27" t="str">
        <x:v>T1_candidate</x:v>
      </x:c>
      <x:c r="Y93" s="27" t="str">
        <x:v>owned</x:v>
      </x:c>
      <x:c r="Z93" s="27" t="str"/>
      <x:c r="AA93" s="27" t="str"/>
      <x:c r="AB93" s="27" t="str"/>
      <x:c r="AC93" s="27" t="str">
        <x:v>C:\PRAGMA_THESIS_LOCAL\02_문헌\학술문헌\[02-004]_Bardovi-Harlig et al.(2015)_The effect of instruction on pragmatic routines in academic discussion_교수효과·관례표현.pdf</x:v>
      </x:c>
      <x:c r="AD93" s="27" t="str">
        <x:v>2026-08-13T16:43:06</x:v>
      </x:c>
      <x:c r="AE93" s="28" t="n">
        <x:v>124400</x:v>
      </x:c>
      <x:c r="AF93" s="27" t="str">
        <x:v>a03da703f9d68fe428e8e42542b287ca7de913c361de609155a49689857513d9</x:v>
      </x:c>
      <x:c r="AG93" s="27" t="str"/>
    </x:row>
    <x:row r="94" ht="18" customHeight="1">
      <x:c r="A94" s="27" t="str">
        <x:v>LIT-20260814-093</x:v>
      </x:c>
      <x:c r="B94" s="27" t="str">
        <x:v>02-004</x:v>
      </x:c>
      <x:c r="C94" s="27" t="str">
        <x:v>en</x:v>
      </x:c>
      <x:c r="D94" s="27" t="str">
        <x:v>[02-004]_Bardovi-Harlig(2009)_Conventional Expressions as a Pragmalinguistic Resource Recognition and Production_판단산출분리·관례표현.pdf</x:v>
      </x:c>
      <x:c r="E94" s="27" t="str">
        <x:v>PDF</x:v>
      </x:c>
      <x:c r="F94" s="27" t="n">
        <x:v>41</x:v>
      </x:c>
      <x:c r="G94" s="27" t="str">
        <x:v>full</x:v>
      </x:c>
      <x:c r="H94" s="27" t="str">
        <x:v>native</x:v>
      </x:c>
      <x:c r="I94" s="27" t="str">
        <x:v>Bardovi-Harlig</x:v>
      </x:c>
      <x:c r="J94" s="27" t="str">
        <x:v>2009</x:v>
      </x:c>
      <x:c r="K94" s="27" t="str">
        <x:v>Conventional Expressions as a Pragmalinguistic Resource Recognition and Production</x:v>
      </x:c>
      <x:c r="L94" s="27" t="str">
        <x:v>판단산출분리·관례표현</x:v>
      </x:c>
      <x:c r="M94" s="27" t="str">
        <x:v>unverified</x:v>
      </x:c>
      <x:c r="N94" s="27" t="str">
        <x:v>M0</x:v>
      </x:c>
      <x:c r="O94" s="27" t="str"/>
      <x:c r="P94" s="27"/>
      <x:c r="Q94" s="27"/>
      <x:c r="R94" s="27"/>
      <x:c r="S94" s="27"/>
      <x:c r="T94" s="27"/>
      <x:c r="U94" s="27"/>
      <x:c r="V94" s="27" t="str">
        <x:f>IF(COUNTA(P94:U94)=0,"",SUM(P94:U94))</x:f>
      </x:c>
      <x:c r="W94" s="27" t="str">
        <x:v>02-004</x:v>
      </x:c>
      <x:c r="X94" s="27" t="str">
        <x:v>T1_candidate</x:v>
      </x:c>
      <x:c r="Y94" s="27" t="str">
        <x:v>owned</x:v>
      </x:c>
      <x:c r="Z94" s="27" t="str"/>
      <x:c r="AA94" s="27" t="str"/>
      <x:c r="AB94" s="27" t="str"/>
      <x:c r="AC94" s="27" t="str">
        <x:v>C:\PRAGMA_THESIS_LOCAL\02_문헌\학술문헌\[02-004]_Bardovi-Harlig(2009)_Conventional Expressions as a Pragmalinguistic Resource Recognition and Production_판단산출분리·관례표현.pdf</x:v>
      </x:c>
      <x:c r="AD94" s="27" t="str">
        <x:v>2026-08-13T16:01:26</x:v>
      </x:c>
      <x:c r="AE94" s="28" t="n">
        <x:v>264912</x:v>
      </x:c>
      <x:c r="AF94" s="27" t="str">
        <x:v>0e554df003c016d0139cfda7e268e0773b75119cdc69d254e690aaf576458cb9</x:v>
      </x:c>
      <x:c r="AG94" s="27" t="str"/>
    </x:row>
    <x:row r="95" ht="18" customHeight="1">
      <x:c r="A95" s="27" t="str">
        <x:v>LIT-20260814-094</x:v>
      </x:c>
      <x:c r="B95" s="27" t="str">
        <x:v>02-004</x:v>
      </x:c>
      <x:c r="C95" s="27" t="str">
        <x:v>en</x:v>
      </x:c>
      <x:c r="D95" s="27" t="str">
        <x:v>[02-004]_Byon(2005)_미국 대학 KFL 화행 학습 활동 개발_화행교수·활동설계.pdf</x:v>
      </x:c>
      <x:c r="E95" s="27" t="str">
        <x:v>PDF</x:v>
      </x:c>
      <x:c r="F95" s="27" t="n">
        <x:v>36</x:v>
      </x:c>
      <x:c r="G95" s="27" t="str">
        <x:v>full</x:v>
      </x:c>
      <x:c r="H95" s="27" t="str">
        <x:v>ocr_needed</x:v>
      </x:c>
      <x:c r="I95" s="27" t="str">
        <x:v>Byon</x:v>
      </x:c>
      <x:c r="J95" s="27" t="str">
        <x:v>2005</x:v>
      </x:c>
      <x:c r="K95" s="27" t="str">
        <x:v>미국 대학 KFL 화행 학습 활동 개발</x:v>
      </x:c>
      <x:c r="L95" s="27" t="str">
        <x:v>화행교수·활동설계</x:v>
      </x:c>
      <x:c r="M95" s="27" t="str">
        <x:v>unverified</x:v>
      </x:c>
      <x:c r="N95" s="27" t="str">
        <x:v>M0</x:v>
      </x:c>
      <x:c r="O95" s="27" t="str"/>
      <x:c r="P95" s="27"/>
      <x:c r="Q95" s="27"/>
      <x:c r="R95" s="27"/>
      <x:c r="S95" s="27"/>
      <x:c r="T95" s="27"/>
      <x:c r="U95" s="27"/>
      <x:c r="V95" s="27" t="str">
        <x:f>IF(COUNTA(P95:U95)=0,"",SUM(P95:U95))</x:f>
      </x:c>
      <x:c r="W95" s="27" t="str">
        <x:v>02-004</x:v>
      </x:c>
      <x:c r="X95" s="27" t="str">
        <x:v>T1_candidate</x:v>
      </x:c>
      <x:c r="Y95" s="27" t="str">
        <x:v>owned</x:v>
      </x:c>
      <x:c r="Z95" s="27" t="str"/>
      <x:c r="AA95" s="27" t="str">
        <x:v>insufficient_text_layer_first_3_pages</x:v>
      </x:c>
      <x:c r="AB95" s="27" t="str"/>
      <x:c r="AC95" s="27" t="str">
        <x:v>C:\PRAGMA_THESIS_LOCAL\02_문헌\학술문헌\[02-004]_Byon(2005)_미국 대학 KFL 화행 학습 활동 개발_화행교수·활동설계.pdf</x:v>
      </x:c>
      <x:c r="AD95" s="27" t="str">
        <x:v>2026-07-18T11:03:23</x:v>
      </x:c>
      <x:c r="AE95" s="28" t="n">
        <x:v>1660894</x:v>
      </x:c>
      <x:c r="AF95" s="27" t="str">
        <x:v>3720812c19095acf8560c63bf55ebacedb55b0cfd92d2227e910fb1ac1ba908c</x:v>
      </x:c>
      <x:c r="AG95" s="27" t="str"/>
    </x:row>
    <x:row r="96" ht="18" customHeight="1">
      <x:c r="A96" s="27" t="str">
        <x:v>LIT-20260814-095</x:v>
      </x:c>
      <x:c r="B96" s="27" t="str">
        <x:v>02-004</x:v>
      </x:c>
      <x:c r="C96" s="27" t="str">
        <x:v>en</x:v>
      </x:c>
      <x:c r="D96" s="27" t="str">
        <x:v>[02-004]_Culpeper et al.(2019)_Pragmatics Data trends_연구방법·자료유형.pdf</x:v>
      </x:c>
      <x:c r="E96" s="27" t="str">
        <x:v>PDF</x:v>
      </x:c>
      <x:c r="F96" s="27" t="n">
        <x:v>11</x:v>
      </x:c>
      <x:c r="G96" s="27" t="str">
        <x:v>full</x:v>
      </x:c>
      <x:c r="H96" s="27" t="str">
        <x:v>native</x:v>
      </x:c>
      <x:c r="I96" s="27" t="str">
        <x:v>Culpeper et al.</x:v>
      </x:c>
      <x:c r="J96" s="27" t="str">
        <x:v>2019</x:v>
      </x:c>
      <x:c r="K96" s="27" t="str">
        <x:v>Pragmatics Data trends</x:v>
      </x:c>
      <x:c r="L96" s="27" t="str">
        <x:v>연구방법·자료유형</x:v>
      </x:c>
      <x:c r="M96" s="27" t="str">
        <x:v>unverified</x:v>
      </x:c>
      <x:c r="N96" s="27" t="str">
        <x:v>M0</x:v>
      </x:c>
      <x:c r="O96" s="27" t="str"/>
      <x:c r="P96" s="27"/>
      <x:c r="Q96" s="27"/>
      <x:c r="R96" s="27"/>
      <x:c r="S96" s="27"/>
      <x:c r="T96" s="27"/>
      <x:c r="U96" s="27"/>
      <x:c r="V96" s="27" t="str">
        <x:f>IF(COUNTA(P96:U96)=0,"",SUM(P96:U96))</x:f>
      </x:c>
      <x:c r="W96" s="27" t="str">
        <x:v>02-004</x:v>
      </x:c>
      <x:c r="X96" s="27" t="str">
        <x:v>T1_candidate</x:v>
      </x:c>
      <x:c r="Y96" s="27" t="str">
        <x:v>owned</x:v>
      </x:c>
      <x:c r="Z96" s="27" t="str"/>
      <x:c r="AA96" s="27" t="str"/>
      <x:c r="AB96" s="27" t="str"/>
      <x:c r="AC96" s="27" t="str">
        <x:v>C:\PRAGMA_THESIS_LOCAL\02_문헌\학술문헌\[02-004]_Culpeper et al.(2019)_Pragmatics Data trends_연구방법·자료유형.pdf</x:v>
      </x:c>
      <x:c r="AD96" s="27" t="str">
        <x:v>2026-08-14T13:12:41</x:v>
      </x:c>
      <x:c r="AE96" s="28" t="n">
        <x:v>946499</x:v>
      </x:c>
      <x:c r="AF96" s="27" t="str">
        <x:v>ff11687dfbae7efa54a200701ea8e16f4c3ad6cb4db7deb734fc9553411b541a</x:v>
      </x:c>
      <x:c r="AG96" s="27" t="str"/>
    </x:row>
    <x:row r="97" ht="18" customHeight="1">
      <x:c r="A97" s="27" t="str">
        <x:v>LIT-20260814-096</x:v>
      </x:c>
      <x:c r="B97" s="27" t="str">
        <x:v>02-004</x:v>
      </x:c>
      <x:c r="C97" s="27" t="str">
        <x:v>en</x:v>
      </x:c>
      <x:c r="D97" s="27" t="str">
        <x:v>[02-004]_Dai &amp; Roever(2026)_Assessing Digital Interactional Competence for L2 and L1 Chinese Speakers_상호작용능력·디지털평가.pdf</x:v>
      </x:c>
      <x:c r="E97" s="27" t="str">
        <x:v>PDF</x:v>
      </x:c>
      <x:c r="F97" s="27" t="n">
        <x:v>46</x:v>
      </x:c>
      <x:c r="G97" s="27" t="str">
        <x:v>full</x:v>
      </x:c>
      <x:c r="H97" s="27" t="str">
        <x:v>native</x:v>
      </x:c>
      <x:c r="I97" s="27" t="str">
        <x:v>Dai &amp; Roever</x:v>
      </x:c>
      <x:c r="J97" s="27" t="str">
        <x:v>2026</x:v>
      </x:c>
      <x:c r="K97" s="27" t="str">
        <x:v>Assessing Digital Interactional Competence for L2 and L1 Chinese Speakers</x:v>
      </x:c>
      <x:c r="L97" s="27" t="str">
        <x:v>상호작용능력·디지털평가</x:v>
      </x:c>
      <x:c r="M97" s="27" t="str">
        <x:v>unverified</x:v>
      </x:c>
      <x:c r="N97" s="27" t="str">
        <x:v>M0</x:v>
      </x:c>
      <x:c r="O97" s="27" t="str"/>
      <x:c r="P97" s="27"/>
      <x:c r="Q97" s="27"/>
      <x:c r="R97" s="27"/>
      <x:c r="S97" s="27"/>
      <x:c r="T97" s="27"/>
      <x:c r="U97" s="27"/>
      <x:c r="V97" s="27" t="str">
        <x:f>IF(COUNTA(P97:U97)=0,"",SUM(P97:U97))</x:f>
      </x:c>
      <x:c r="W97" s="27" t="str">
        <x:v>02-004</x:v>
      </x:c>
      <x:c r="X97" s="27" t="str">
        <x:v>T1_candidate</x:v>
      </x:c>
      <x:c r="Y97" s="27" t="str">
        <x:v>owned</x:v>
      </x:c>
      <x:c r="Z97" s="27" t="str"/>
      <x:c r="AA97" s="27" t="str"/>
      <x:c r="AB97" s="27" t="str"/>
      <x:c r="AC97" s="27" t="str">
        <x:v>C:\PRAGMA_THESIS_LOCAL\02_문헌\학술문헌\[02-004]_Dai &amp; Roever(2026)_Assessing Digital Interactional Competence for L2 and L1 Chinese Speakers_상호작용능력·디지털평가.pdf</x:v>
      </x:c>
      <x:c r="AD97" s="27" t="str">
        <x:v>2026-07-20T19:01:34</x:v>
      </x:c>
      <x:c r="AE97" s="28" t="n">
        <x:v>2898241</x:v>
      </x:c>
      <x:c r="AF97" s="27" t="str">
        <x:v>a6221f7fc41890dec109d16715e56219020bb5ac786adb527a270f264e841bb7</x:v>
      </x:c>
      <x:c r="AG97" s="27" t="str"/>
    </x:row>
    <x:row r="98" ht="18" customHeight="1">
      <x:c r="A98" s="27" t="str">
        <x:v>LIT-20260814-097</x:v>
      </x:c>
      <x:c r="B98" s="27" t="str">
        <x:v>02-004</x:v>
      </x:c>
      <x:c r="C98" s="27" t="str">
        <x:v>en</x:v>
      </x:c>
      <x:c r="D98" s="27" t="str">
        <x:v>[02-004]_Dai(2023)_What do second language speakers really need for real-world interaction_상호작용능력·요구분석.pdf</x:v>
      </x:c>
      <x:c r="E98" s="27" t="str">
        <x:v>PDF</x:v>
      </x:c>
      <x:c r="F98" s="27" t="n">
        <x:v>38</x:v>
      </x:c>
      <x:c r="G98" s="27" t="str">
        <x:v>full</x:v>
      </x:c>
      <x:c r="H98" s="27" t="str">
        <x:v>native</x:v>
      </x:c>
      <x:c r="I98" s="27" t="str">
        <x:v>Dai</x:v>
      </x:c>
      <x:c r="J98" s="27" t="str">
        <x:v>2023</x:v>
      </x:c>
      <x:c r="K98" s="27" t="str">
        <x:v>What do second language speakers really need for real-world interaction</x:v>
      </x:c>
      <x:c r="L98" s="27" t="str">
        <x:v>상호작용능력·요구분석</x:v>
      </x:c>
      <x:c r="M98" s="27" t="str">
        <x:v>unverified</x:v>
      </x:c>
      <x:c r="N98" s="27" t="str">
        <x:v>M0</x:v>
      </x:c>
      <x:c r="O98" s="27" t="str"/>
      <x:c r="P98" s="27"/>
      <x:c r="Q98" s="27"/>
      <x:c r="R98" s="27"/>
      <x:c r="S98" s="27"/>
      <x:c r="T98" s="27"/>
      <x:c r="U98" s="27"/>
      <x:c r="V98" s="27" t="str">
        <x:f>IF(COUNTA(P98:U98)=0,"",SUM(P98:U98))</x:f>
      </x:c>
      <x:c r="W98" s="27" t="str">
        <x:v>02-004</x:v>
      </x:c>
      <x:c r="X98" s="27" t="str">
        <x:v>T1_candidate</x:v>
      </x:c>
      <x:c r="Y98" s="27" t="str">
        <x:v>owned</x:v>
      </x:c>
      <x:c r="Z98" s="27" t="str"/>
      <x:c r="AA98" s="27" t="str"/>
      <x:c r="AB98" s="27" t="str"/>
      <x:c r="AC98" s="27" t="str">
        <x:v>C:\PRAGMA_THESIS_LOCAL\02_문헌\학술문헌\[02-004]_Dai(2023)_What do second language speakers really need for real-world interaction_상호작용능력·요구분석.pdf</x:v>
      </x:c>
      <x:c r="AD98" s="27" t="str">
        <x:v>2026-07-21T11:06:55</x:v>
      </x:c>
      <x:c r="AE98" s="28" t="n">
        <x:v>366925</x:v>
      </x:c>
      <x:c r="AF98" s="27" t="str">
        <x:v>b4221c48ae2ac198515e9818dd09b6f6c2a630866e4f79065d89b4c27e14d796</x:v>
      </x:c>
      <x:c r="AG98" s="27" t="str"/>
    </x:row>
    <x:row r="99" ht="18" customHeight="1">
      <x:c r="A99" s="27" t="str">
        <x:v>LIT-20260814-098</x:v>
      </x:c>
      <x:c r="B99" s="27" t="str">
        <x:v>02-004</x:v>
      </x:c>
      <x:c r="C99" s="27" t="str">
        <x:v>en</x:v>
      </x:c>
      <x:c r="D99" s="27" t="str">
        <x:v>[02-004]_Glaser(2020)_Assessing the L2 Pragmatic Awareness of Non-Native EFL Teacher Candidates Is Spotting a Problem Enough_판단≠산출·인식평가.pdf</x:v>
      </x:c>
      <x:c r="E99" s="27" t="str">
        <x:v>PDF</x:v>
      </x:c>
      <x:c r="F99" s="27" t="n">
        <x:v>33</x:v>
      </x:c>
      <x:c r="G99" s="27" t="str">
        <x:v>full</x:v>
      </x:c>
      <x:c r="H99" s="27" t="str">
        <x:v>native</x:v>
      </x:c>
      <x:c r="I99" s="27" t="str">
        <x:v>Glaser</x:v>
      </x:c>
      <x:c r="J99" s="27" t="str">
        <x:v>2020</x:v>
      </x:c>
      <x:c r="K99" s="27" t="str">
        <x:v>Assessing the L2 Pragmatic Awareness of Non-Native EFL Teacher Candidates Is Spotting a Problem Enough</x:v>
      </x:c>
      <x:c r="L99" s="27" t="str">
        <x:v>판단≠산출·인식평가</x:v>
      </x:c>
      <x:c r="M99" s="27" t="str">
        <x:v>unverified</x:v>
      </x:c>
      <x:c r="N99" s="27" t="str">
        <x:v>M0</x:v>
      </x:c>
      <x:c r="O99" s="27" t="str"/>
      <x:c r="P99" s="27"/>
      <x:c r="Q99" s="27"/>
      <x:c r="R99" s="27"/>
      <x:c r="S99" s="27"/>
      <x:c r="T99" s="27"/>
      <x:c r="U99" s="27"/>
      <x:c r="V99" s="27" t="str">
        <x:f>IF(COUNTA(P99:U99)=0,"",SUM(P99:U99))</x:f>
      </x:c>
      <x:c r="W99" s="27" t="str">
        <x:v>02-004</x:v>
      </x:c>
      <x:c r="X99" s="27" t="str">
        <x:v>T1_candidate</x:v>
      </x:c>
      <x:c r="Y99" s="27" t="str">
        <x:v>owned</x:v>
      </x:c>
      <x:c r="Z99" s="27" t="str"/>
      <x:c r="AA99" s="27" t="str"/>
      <x:c r="AB99" s="27" t="str"/>
      <x:c r="AC99" s="27" t="str">
        <x:v>C:\PRAGMA_THESIS_LOCAL\02_문헌\학술문헌\[02-004]_Glaser(2020)_Assessing the L2 Pragmatic Awareness of Non-Native EFL Teacher Candidates Is Spotting a Problem Enough_판단≠산출·인식평가.pdf</x:v>
      </x:c>
      <x:c r="AD99" s="27" t="str">
        <x:v>2026-08-13T15:45:11</x:v>
      </x:c>
      <x:c r="AE99" s="28" t="n">
        <x:v>1384421</x:v>
      </x:c>
      <x:c r="AF99" s="27" t="str">
        <x:v>5a2a9402b262475b839735f311686c49d85d71c42d7545844f32aab24512a8e6</x:v>
      </x:c>
      <x:c r="AG99" s="27" t="str"/>
    </x:row>
    <x:row r="100" ht="18" customHeight="1">
      <x:c r="A100" s="27" t="str">
        <x:v>LIT-20260814-099</x:v>
      </x:c>
      <x:c r="B100" s="27" t="str">
        <x:v>02-004</x:v>
      </x:c>
      <x:c r="C100" s="27" t="str">
        <x:v>en</x:v>
      </x:c>
      <x:c r="D100" s="27" t="str">
        <x:v>[02-004]_Jin et al.(2025)_Assessing Pragmatic Comprehension Competence in Chinese as a Second Foreign Language_중국어화용평가·화행.pdf</x:v>
      </x:c>
      <x:c r="E100" s="27" t="str">
        <x:v>PDF</x:v>
      </x:c>
      <x:c r="F100" s="27" t="n">
        <x:v>18</x:v>
      </x:c>
      <x:c r="G100" s="27" t="str">
        <x:v>full</x:v>
      </x:c>
      <x:c r="H100" s="27" t="str">
        <x:v>native</x:v>
      </x:c>
      <x:c r="I100" s="27" t="str">
        <x:v>Jin et al.</x:v>
      </x:c>
      <x:c r="J100" s="27" t="str">
        <x:v>2025</x:v>
      </x:c>
      <x:c r="K100" s="27" t="str">
        <x:v>Assessing Pragmatic Comprehension Competence in Chinese as a Second Foreign Language</x:v>
      </x:c>
      <x:c r="L100" s="27" t="str">
        <x:v>중국어화용평가·화행</x:v>
      </x:c>
      <x:c r="M100" s="27" t="str">
        <x:v>unverified</x:v>
      </x:c>
      <x:c r="N100" s="27" t="str">
        <x:v>M0</x:v>
      </x:c>
      <x:c r="O100" s="27" t="str"/>
      <x:c r="P100" s="27"/>
      <x:c r="Q100" s="27"/>
      <x:c r="R100" s="27"/>
      <x:c r="S100" s="27"/>
      <x:c r="T100" s="27"/>
      <x:c r="U100" s="27"/>
      <x:c r="V100" s="27" t="str">
        <x:f>IF(COUNTA(P100:U100)=0,"",SUM(P100:U100))</x:f>
      </x:c>
      <x:c r="W100" s="27" t="str">
        <x:v>02-004</x:v>
      </x:c>
      <x:c r="X100" s="27" t="str">
        <x:v>T1_candidate</x:v>
      </x:c>
      <x:c r="Y100" s="27" t="str">
        <x:v>owned</x:v>
      </x:c>
      <x:c r="Z100" s="27" t="str"/>
      <x:c r="AA100" s="27" t="str"/>
      <x:c r="AB100" s="27" t="str"/>
      <x:c r="AC100" s="27" t="str">
        <x:v>C:\PRAGMA_THESIS_LOCAL\02_문헌\학술문헌\[02-004]_Jin et al.(2025)_Assessing Pragmatic Comprehension Competence in Chinese as a Second Foreign Language_중국어화용평가·화행.pdf</x:v>
      </x:c>
      <x:c r="AD100" s="27" t="str">
        <x:v>2026-03-11T16:43:11</x:v>
      </x:c>
      <x:c r="AE100" s="28" t="n">
        <x:v>1218988</x:v>
      </x:c>
      <x:c r="AF100" s="27" t="str">
        <x:v>2af77d1d719aa9242f09c348b7d9967c7464ea6a76bdcc4324453e639b391849</x:v>
      </x:c>
      <x:c r="AG100" s="27" t="str"/>
    </x:row>
    <x:row r="101" ht="18" customHeight="1">
      <x:c r="A101" s="27" t="str">
        <x:v>LIT-20260814-100</x:v>
      </x:c>
      <x:c r="B101" s="27" t="str">
        <x:v>02-004</x:v>
      </x:c>
      <x:c r="C101" s="27" t="str">
        <x:v>en</x:v>
      </x:c>
      <x:c r="D101" s="27" t="str">
        <x:v>[02-004]_Kasper &amp; Blum-Kulka_Interlanguage Pragmatics (발췌)_중간언어화용·이론.txt</x:v>
      </x:c>
      <x:c r="E101" s="27" t="str">
        <x:v>TXT</x:v>
      </x:c>
      <x:c r="F101" s="27"/>
      <x:c r="G101" s="27" t="str">
        <x:v>excerpt</x:v>
      </x:c>
      <x:c r="H101" s="27" t="str">
        <x:v>native</x:v>
      </x:c>
      <x:c r="I101" s="27" t="str">
        <x:v>Kasper &amp; Blum-Kulka</x:v>
      </x:c>
      <x:c r="J101" s="27" t="str"/>
      <x:c r="K101" s="27" t="str">
        <x:v>Interlanguage Pragmatics (발췌)</x:v>
      </x:c>
      <x:c r="L101" s="27" t="str">
        <x:v>중간언어화용·이론</x:v>
      </x:c>
      <x:c r="M101" s="27" t="str">
        <x:v>unverified</x:v>
      </x:c>
      <x:c r="N101" s="27" t="str">
        <x:v>M0</x:v>
      </x:c>
      <x:c r="O101" s="27" t="str"/>
      <x:c r="P101" s="27"/>
      <x:c r="Q101" s="27"/>
      <x:c r="R101" s="27"/>
      <x:c r="S101" s="27"/>
      <x:c r="T101" s="27"/>
      <x:c r="U101" s="27"/>
      <x:c r="V101" s="27" t="str">
        <x:f>IF(COUNTA(P101:U101)=0,"",SUM(P101:U101))</x:f>
      </x:c>
      <x:c r="W101" s="27" t="str">
        <x:v>02-004</x:v>
      </x:c>
      <x:c r="X101" s="27" t="str">
        <x:v>T1_candidate</x:v>
      </x:c>
      <x:c r="Y101" s="27" t="str">
        <x:v>owned</x:v>
      </x:c>
      <x:c r="Z101" s="27" t="str">
        <x:v>year_unverified</x:v>
      </x:c>
      <x:c r="AA101" s="27" t="str"/>
      <x:c r="AB101" s="27" t="str"/>
      <x:c r="AC101" s="27" t="str">
        <x:v>C:\PRAGMA_THESIS_LOCAL\02_문헌\학술문헌\[02-004]_Kasper &amp; Blum-Kulka_Interlanguage Pragmatics (발췌)_중간언어화용·이론.txt</x:v>
      </x:c>
      <x:c r="AD101" s="27" t="str">
        <x:v>2026-07-02T09:47:01</x:v>
      </x:c>
      <x:c r="AE101" s="28" t="n">
        <x:v>132338</x:v>
      </x:c>
      <x:c r="AF101" s="27" t="str">
        <x:v>828b29cbb0f0fc2183d00189f062d5d5355b692112b0e245b1e332f0a1da9ed1</x:v>
      </x:c>
      <x:c r="AG101" s="27" t="str"/>
    </x:row>
    <x:row r="102" ht="18" customHeight="1">
      <x:c r="A102" s="27" t="str">
        <x:v>LIT-20260814-101</x:v>
      </x:c>
      <x:c r="B102" s="27" t="str">
        <x:v>02-004</x:v>
      </x:c>
      <x:c r="C102" s="27" t="str">
        <x:v>en</x:v>
      </x:c>
      <x:c r="D102" s="27" t="str">
        <x:v>[02-004]_Labben(2016)_Reconsidering the Development of the Discourse Completion Test in Interlanguage Pragmatics_DCT타당도·과제유형.pdf</x:v>
      </x:c>
      <x:c r="E102" s="27" t="str">
        <x:v>PDF</x:v>
      </x:c>
      <x:c r="F102" s="27" t="n">
        <x:v>23</x:v>
      </x:c>
      <x:c r="G102" s="27" t="str">
        <x:v>full</x:v>
      </x:c>
      <x:c r="H102" s="27" t="str">
        <x:v>native</x:v>
      </x:c>
      <x:c r="I102" s="27" t="str">
        <x:v>Labben</x:v>
      </x:c>
      <x:c r="J102" s="27" t="str">
        <x:v>2016</x:v>
      </x:c>
      <x:c r="K102" s="27" t="str">
        <x:v>Reconsidering the Development of the Discourse Completion Test in Interlanguage Pragmatics</x:v>
      </x:c>
      <x:c r="L102" s="27" t="str">
        <x:v>DCT타당도·과제유형</x:v>
      </x:c>
      <x:c r="M102" s="27" t="str">
        <x:v>unverified</x:v>
      </x:c>
      <x:c r="N102" s="27" t="str">
        <x:v>M0</x:v>
      </x:c>
      <x:c r="O102" s="27" t="str"/>
      <x:c r="P102" s="27"/>
      <x:c r="Q102" s="27"/>
      <x:c r="R102" s="27"/>
      <x:c r="S102" s="27"/>
      <x:c r="T102" s="27"/>
      <x:c r="U102" s="27"/>
      <x:c r="V102" s="27" t="str">
        <x:f>IF(COUNTA(P102:U102)=0,"",SUM(P102:U102))</x:f>
      </x:c>
      <x:c r="W102" s="27" t="str">
        <x:v>02-004</x:v>
      </x:c>
      <x:c r="X102" s="27" t="str">
        <x:v>T1_candidate</x:v>
      </x:c>
      <x:c r="Y102" s="27" t="str">
        <x:v>owned</x:v>
      </x:c>
      <x:c r="Z102" s="27" t="str"/>
      <x:c r="AA102" s="27" t="str"/>
      <x:c r="AB102" s="27" t="str"/>
      <x:c r="AC102" s="27" t="str">
        <x:v>C:\PRAGMA_THESIS_LOCAL\02_문헌\학술문헌\[02-004]_Labben(2016)_Reconsidering the Development of the Discourse Completion Test in Interlanguage Pragmatics_DCT타당도·과제유형.pdf</x:v>
      </x:c>
      <x:c r="AD102" s="27" t="str">
        <x:v>2026-07-26T11:48:59</x:v>
      </x:c>
      <x:c r="AE102" s="28" t="n">
        <x:v>1346449</x:v>
      </x:c>
      <x:c r="AF102" s="27" t="str">
        <x:v>ba8c6795458e422aa8413afdff7a4c8c759a8a9192a1fdbd611b48d560a00273</x:v>
      </x:c>
      <x:c r="AG102" s="27" t="str"/>
    </x:row>
    <x:row r="103" ht="18" customHeight="1">
      <x:c r="A103" s="27" t="str">
        <x:v>LIT-20260814-102</x:v>
      </x:c>
      <x:c r="B103" s="27" t="str">
        <x:v>02-004</x:v>
      </x:c>
      <x:c r="C103" s="27" t="str">
        <x:v>en</x:v>
      </x:c>
      <x:c r="D103" s="27" t="str">
        <x:v>[02-004]_Li et al._Variations in Rating Scale Functioning in Assessing Pragmatic Performance in L2 Chinese_평정척도변이·3대역근거.pdf</x:v>
      </x:c>
      <x:c r="E103" s="27" t="str">
        <x:v>PDF</x:v>
      </x:c>
      <x:c r="F103" s="27" t="n">
        <x:v>51</x:v>
      </x:c>
      <x:c r="G103" s="27" t="str">
        <x:v>full</x:v>
      </x:c>
      <x:c r="H103" s="27" t="str">
        <x:v>native</x:v>
      </x:c>
      <x:c r="I103" s="27" t="str">
        <x:v>Li et al.</x:v>
      </x:c>
      <x:c r="J103" s="27" t="str"/>
      <x:c r="K103" s="27" t="str">
        <x:v>Variations in Rating Scale Functioning in Assessing Pragmatic Performance in L2 Chinese</x:v>
      </x:c>
      <x:c r="L103" s="27" t="str">
        <x:v>평정척도변이·3대역근거</x:v>
      </x:c>
      <x:c r="M103" s="27" t="str">
        <x:v>unverified</x:v>
      </x:c>
      <x:c r="N103" s="27" t="str">
        <x:v>M0</x:v>
      </x:c>
      <x:c r="O103" s="27" t="str"/>
      <x:c r="P103" s="27"/>
      <x:c r="Q103" s="27"/>
      <x:c r="R103" s="27"/>
      <x:c r="S103" s="27"/>
      <x:c r="T103" s="27"/>
      <x:c r="U103" s="27"/>
      <x:c r="V103" s="27" t="str">
        <x:f>IF(COUNTA(P103:U103)=0,"",SUM(P103:U103))</x:f>
      </x:c>
      <x:c r="W103" s="27" t="str">
        <x:v>02-004</x:v>
      </x:c>
      <x:c r="X103" s="27" t="str">
        <x:v>T1_candidate</x:v>
      </x:c>
      <x:c r="Y103" s="27" t="str">
        <x:v>owned</x:v>
      </x:c>
      <x:c r="Z103" s="27" t="str">
        <x:v>year_unverified</x:v>
      </x:c>
      <x:c r="AA103" s="27" t="str"/>
      <x:c r="AB103" s="27" t="str"/>
      <x:c r="AC103" s="27" t="str">
        <x:v>C:\PRAGMA_THESIS_LOCAL\02_문헌\학술문헌\[02-004]_Li et al._Variations in Rating Scale Functioning in Assessing Pragmatic Performance in L2 Chinese_평정척도변이·3대역근거.pdf</x:v>
      </x:c>
      <x:c r="AD103" s="27" t="str">
        <x:v>2026-07-26T12:27:47</x:v>
      </x:c>
      <x:c r="AE103" s="28" t="n">
        <x:v>1090269</x:v>
      </x:c>
      <x:c r="AF103" s="27" t="str">
        <x:v>a4fd55d673943dbc7dc080b9ddc6ab0aacc521688d14f30b6bfb480e29151764</x:v>
      </x:c>
      <x:c r="AG103" s="27" t="str"/>
    </x:row>
    <x:row r="104" ht="18" customHeight="1">
      <x:c r="A104" s="27" t="str">
        <x:v>LIT-20260814-103</x:v>
      </x:c>
      <x:c r="B104" s="27" t="str">
        <x:v>02-004</x:v>
      </x:c>
      <x:c r="C104" s="27" t="str">
        <x:v>en</x:v>
      </x:c>
      <x:c r="D104" s="27" t="str">
        <x:v>[02-004]_Li(2015)_Developing a test of L2 Chinese pragmatic comprehension ability_중국어화용평가·검사개발.pdf</x:v>
      </x:c>
      <x:c r="E104" s="27" t="str">
        <x:v>PDF</x:v>
      </x:c>
      <x:c r="F104" s="27" t="n">
        <x:v>23</x:v>
      </x:c>
      <x:c r="G104" s="27" t="str">
        <x:v>full</x:v>
      </x:c>
      <x:c r="H104" s="27" t="str">
        <x:v>native</x:v>
      </x:c>
      <x:c r="I104" s="27" t="str">
        <x:v>Li</x:v>
      </x:c>
      <x:c r="J104" s="27" t="str">
        <x:v>2015</x:v>
      </x:c>
      <x:c r="K104" s="27" t="str">
        <x:v>Developing a test of L2 Chinese pragmatic comprehension ability</x:v>
      </x:c>
      <x:c r="L104" s="27" t="str">
        <x:v>중국어화용평가·검사개발</x:v>
      </x:c>
      <x:c r="M104" s="27" t="str">
        <x:v>unverified</x:v>
      </x:c>
      <x:c r="N104" s="27" t="str">
        <x:v>M0</x:v>
      </x:c>
      <x:c r="O104" s="27" t="str"/>
      <x:c r="P104" s="27"/>
      <x:c r="Q104" s="27"/>
      <x:c r="R104" s="27"/>
      <x:c r="S104" s="27"/>
      <x:c r="T104" s="27"/>
      <x:c r="U104" s="27"/>
      <x:c r="V104" s="27" t="str">
        <x:f>IF(COUNTA(P104:U104)=0,"",SUM(P104:U104))</x:f>
      </x:c>
      <x:c r="W104" s="27" t="str">
        <x:v>02-004</x:v>
      </x:c>
      <x:c r="X104" s="27" t="str">
        <x:v>T1_candidate</x:v>
      </x:c>
      <x:c r="Y104" s="27" t="str">
        <x:v>owned</x:v>
      </x:c>
      <x:c r="Z104" s="27" t="str"/>
      <x:c r="AA104" s="27" t="str"/>
      <x:c r="AB104" s="27" t="str"/>
      <x:c r="AC104" s="27" t="str">
        <x:v>C:\PRAGMA_THESIS_LOCAL\02_문헌\학술문헌\[02-004]_Li(2015)_Developing a test of L2 Chinese pragmatic comprehension ability_중국어화용평가·검사개발.pdf</x:v>
      </x:c>
      <x:c r="AD104" s="27" t="str">
        <x:v>2026-07-26T12:28:25</x:v>
      </x:c>
      <x:c r="AE104" s="28" t="n">
        <x:v>728950</x:v>
      </x:c>
      <x:c r="AF104" s="27" t="str">
        <x:v>e4f33f2da8c4632ab004feb014accb9e0bcd526fcade210771aaf75f3c2ec378</x:v>
      </x:c>
      <x:c r="AG104" s="27" t="str"/>
    </x:row>
    <x:row r="105" ht="18" customHeight="1">
      <x:c r="A105" s="27" t="str">
        <x:v>LIT-20260814-104</x:v>
      </x:c>
      <x:c r="B105" s="27" t="str">
        <x:v>02-004</x:v>
      </x:c>
      <x:c r="C105" s="27" t="str">
        <x:v>en</x:v>
      </x:c>
      <x:c r="D105" s="27" t="str">
        <x:v>[02-004]_Ma(2018)_The Request Strategies with Translation Korean Students' Pragmatic Awareness_번역과제·요청전략.pdf</x:v>
      </x:c>
      <x:c r="E105" s="27" t="str">
        <x:v>PDF</x:v>
      </x:c>
      <x:c r="F105" s="27" t="n">
        <x:v>16</x:v>
      </x:c>
      <x:c r="G105" s="27" t="str">
        <x:v>full</x:v>
      </x:c>
      <x:c r="H105" s="27" t="str">
        <x:v>native</x:v>
      </x:c>
      <x:c r="I105" s="27" t="str">
        <x:v>Ma</x:v>
      </x:c>
      <x:c r="J105" s="27" t="str">
        <x:v>2018</x:v>
      </x:c>
      <x:c r="K105" s="27" t="str">
        <x:v>The Request Strategies with Translation Korean Students' Pragmatic Awareness</x:v>
      </x:c>
      <x:c r="L105" s="27" t="str">
        <x:v>번역과제·요청전략</x:v>
      </x:c>
      <x:c r="M105" s="27" t="str">
        <x:v>unverified</x:v>
      </x:c>
      <x:c r="N105" s="27" t="str">
        <x:v>M0</x:v>
      </x:c>
      <x:c r="O105" s="27" t="str"/>
      <x:c r="P105" s="27"/>
      <x:c r="Q105" s="27"/>
      <x:c r="R105" s="27"/>
      <x:c r="S105" s="27"/>
      <x:c r="T105" s="27"/>
      <x:c r="U105" s="27"/>
      <x:c r="V105" s="27" t="str">
        <x:f>IF(COUNTA(P105:U105)=0,"",SUM(P105:U105))</x:f>
      </x:c>
      <x:c r="W105" s="27" t="str">
        <x:v>02-004</x:v>
      </x:c>
      <x:c r="X105" s="27" t="str">
        <x:v>T1_candidate</x:v>
      </x:c>
      <x:c r="Y105" s="27" t="str">
        <x:v>owned</x:v>
      </x:c>
      <x:c r="Z105" s="27" t="str"/>
      <x:c r="AA105" s="27" t="str"/>
      <x:c r="AB105" s="27" t="str"/>
      <x:c r="AC105" s="27" t="str">
        <x:v>C:\PRAGMA_THESIS_LOCAL\02_문헌\학술문헌\[02-004]_Ma(2018)_The Request Strategies with Translation Korean Students' Pragmatic Awareness_번역과제·요청전략.pdf</x:v>
      </x:c>
      <x:c r="AD105" s="27" t="str">
        <x:v>2026-08-13T20:24:54</x:v>
      </x:c>
      <x:c r="AE105" s="28" t="n">
        <x:v>212847</x:v>
      </x:c>
      <x:c r="AF105" s="27" t="str">
        <x:v>e369ae563117862078a905fd5012f611f5e696c0494d043ca924868bd223a8bd</x:v>
      </x:c>
      <x:c r="AG105" s="27" t="str"/>
    </x:row>
    <x:row r="106" ht="18" customHeight="1">
      <x:c r="A106" s="27" t="str">
        <x:v>LIT-20260814-105</x:v>
      </x:c>
      <x:c r="B106" s="27" t="str">
        <x:v>02-004</x:v>
      </x:c>
      <x:c r="C106" s="27" t="str">
        <x:v>en</x:v>
      </x:c>
      <x:c r="D106" s="27" t="str">
        <x:v>[02-004]_Nguyen et al.(2012)_The relative effects of explicit and implicit form-focused instruction on L2 pragmatic competence_명시적교수·산출효과.pdf</x:v>
      </x:c>
      <x:c r="E106" s="27" t="str">
        <x:v>PDF</x:v>
      </x:c>
      <x:c r="F106" s="27" t="n">
        <x:v>19</x:v>
      </x:c>
      <x:c r="G106" s="27" t="str">
        <x:v>full</x:v>
      </x:c>
      <x:c r="H106" s="27" t="str">
        <x:v>native</x:v>
      </x:c>
      <x:c r="I106" s="27" t="str">
        <x:v>Nguyen et al.</x:v>
      </x:c>
      <x:c r="J106" s="27" t="str">
        <x:v>2012</x:v>
      </x:c>
      <x:c r="K106" s="27" t="str">
        <x:v>The relative effects of explicit and implicit form-focused instruction on L2 pragmatic competence</x:v>
      </x:c>
      <x:c r="L106" s="27" t="str">
        <x:v>명시적교수·산출효과</x:v>
      </x:c>
      <x:c r="M106" s="27" t="str">
        <x:v>unverified</x:v>
      </x:c>
      <x:c r="N106" s="27" t="str">
        <x:v>M0</x:v>
      </x:c>
      <x:c r="O106" s="27" t="str"/>
      <x:c r="P106" s="27"/>
      <x:c r="Q106" s="27"/>
      <x:c r="R106" s="27"/>
      <x:c r="S106" s="27"/>
      <x:c r="T106" s="27"/>
      <x:c r="U106" s="27"/>
      <x:c r="V106" s="27" t="str">
        <x:f>IF(COUNTA(P106:U106)=0,"",SUM(P106:U106))</x:f>
      </x:c>
      <x:c r="W106" s="27" t="str">
        <x:v>02-004</x:v>
      </x:c>
      <x:c r="X106" s="27" t="str">
        <x:v>T1_candidate</x:v>
      </x:c>
      <x:c r="Y106" s="27" t="str">
        <x:v>owned</x:v>
      </x:c>
      <x:c r="Z106" s="27" t="str"/>
      <x:c r="AA106" s="27" t="str"/>
      <x:c r="AB106" s="27" t="str"/>
      <x:c r="AC106" s="27" t="str">
        <x:v>C:\PRAGMA_THESIS_LOCAL\02_문헌\학술문헌\[02-004]_Nguyen et al.(2012)_The relative effects of explicit and implicit form-focused instruction on L2 pragmatic competence_명시적교수·산출효과.pdf</x:v>
      </x:c>
      <x:c r="AD106" s="27" t="str">
        <x:v>2026-08-13T15:22:51</x:v>
      </x:c>
      <x:c r="AE106" s="28" t="n">
        <x:v>517327</x:v>
      </x:c>
      <x:c r="AF106" s="27" t="str">
        <x:v>d15eb365b893ae88f09c11e29c039222d93ef3cb9ab8455bdc6903de61bdd0c4</x:v>
      </x:c>
      <x:c r="AG106" s="27" t="str"/>
    </x:row>
    <x:row r="107" ht="18" customHeight="1">
      <x:c r="A107" s="27" t="str">
        <x:v>LIT-20260814-106</x:v>
      </x:c>
      <x:c r="B107" s="27" t="str">
        <x:v>02-004</x:v>
      </x:c>
      <x:c r="C107" s="27" t="str">
        <x:v>en</x:v>
      </x:c>
      <x:c r="D107" s="27" t="str">
        <x:v>[02-004]_Qin &amp; van Compernolle(2021)_Computerized dynamic assessment of implicature comprehension in L2 Chinese_역동평가·함축이해.pdf</x:v>
      </x:c>
      <x:c r="E107" s="27" t="str">
        <x:v>PDF</x:v>
      </x:c>
      <x:c r="F107" s="27" t="n">
        <x:v>20</x:v>
      </x:c>
      <x:c r="G107" s="27" t="str">
        <x:v>full</x:v>
      </x:c>
      <x:c r="H107" s="27" t="str">
        <x:v>native</x:v>
      </x:c>
      <x:c r="I107" s="27" t="str">
        <x:v>Qin &amp; van Compernolle</x:v>
      </x:c>
      <x:c r="J107" s="27" t="str">
        <x:v>2021</x:v>
      </x:c>
      <x:c r="K107" s="27" t="str">
        <x:v>Computerized dynamic assessment of implicature comprehension in L2 Chinese</x:v>
      </x:c>
      <x:c r="L107" s="27" t="str">
        <x:v>역동평가·함축이해</x:v>
      </x:c>
      <x:c r="M107" s="27" t="str">
        <x:v>unverified</x:v>
      </x:c>
      <x:c r="N107" s="27" t="str">
        <x:v>M0</x:v>
      </x:c>
      <x:c r="O107" s="27" t="str"/>
      <x:c r="P107" s="27"/>
      <x:c r="Q107" s="27"/>
      <x:c r="R107" s="27"/>
      <x:c r="S107" s="27"/>
      <x:c r="T107" s="27"/>
      <x:c r="U107" s="27"/>
      <x:c r="V107" s="27" t="str">
        <x:f>IF(COUNTA(P107:U107)=0,"",SUM(P107:U107))</x:f>
      </x:c>
      <x:c r="W107" s="27" t="str">
        <x:v>02-004</x:v>
      </x:c>
      <x:c r="X107" s="27" t="str">
        <x:v>T1_candidate</x:v>
      </x:c>
      <x:c r="Y107" s="27" t="str">
        <x:v>owned</x:v>
      </x:c>
      <x:c r="Z107" s="27" t="str"/>
      <x:c r="AA107" s="27" t="str"/>
      <x:c r="AB107" s="27" t="str"/>
      <x:c r="AC107" s="27" t="str">
        <x:v>C:\PRAGMA_THESIS_LOCAL\02_문헌\학술문헌\[02-004]_Qin &amp; van Compernolle(2021)_Computerized dynamic assessment of implicature comprehension in L2 Chinese_역동평가·함축이해.pdf</x:v>
      </x:c>
      <x:c r="AD107" s="27" t="str">
        <x:v>2026-07-26T12:14:23</x:v>
      </x:c>
      <x:c r="AE107" s="28" t="n">
        <x:v>487448</x:v>
      </x:c>
      <x:c r="AF107" s="27" t="str">
        <x:v>1a046139dc5d664c7c0ba6de616ac78e341bb0f52141c9c831239eb8270ee6df</x:v>
      </x:c>
      <x:c r="AG107" s="27" t="str"/>
    </x:row>
    <x:row r="108" ht="18" customHeight="1">
      <x:c r="A108" s="27" t="str">
        <x:v>LIT-20260814-107</x:v>
      </x:c>
      <x:c r="B108" s="27" t="str">
        <x:v>02-004</x:v>
      </x:c>
      <x:c r="C108" s="27" t="str">
        <x:v>en</x:v>
      </x:c>
      <x:c r="D108" s="27" t="str">
        <x:v>[02-004]_Ren(2019)_Pragmatic development of Chinese during study abroad_중국어화용능력·요청화행.pdf</x:v>
      </x:c>
      <x:c r="E108" s="27" t="str">
        <x:v>PDF</x:v>
      </x:c>
      <x:c r="F108" s="27" t="n">
        <x:v>13</x:v>
      </x:c>
      <x:c r="G108" s="27" t="str">
        <x:v>full</x:v>
      </x:c>
      <x:c r="H108" s="27" t="str">
        <x:v>native</x:v>
      </x:c>
      <x:c r="I108" s="27" t="str">
        <x:v>Ren</x:v>
      </x:c>
      <x:c r="J108" s="27" t="str">
        <x:v>2019</x:v>
      </x:c>
      <x:c r="K108" s="27" t="str">
        <x:v>Pragmatic development of Chinese during study abroad</x:v>
      </x:c>
      <x:c r="L108" s="27" t="str">
        <x:v>중국어화용능력·요청화행</x:v>
      </x:c>
      <x:c r="M108" s="27" t="str">
        <x:v>unverified</x:v>
      </x:c>
      <x:c r="N108" s="27" t="str">
        <x:v>M0</x:v>
      </x:c>
      <x:c r="O108" s="27" t="str"/>
      <x:c r="P108" s="27"/>
      <x:c r="Q108" s="27"/>
      <x:c r="R108" s="27"/>
      <x:c r="S108" s="27"/>
      <x:c r="T108" s="27"/>
      <x:c r="U108" s="27"/>
      <x:c r="V108" s="27" t="str">
        <x:f>IF(COUNTA(P108:U108)=0,"",SUM(P108:U108))</x:f>
      </x:c>
      <x:c r="W108" s="27" t="str">
        <x:v>02-004</x:v>
      </x:c>
      <x:c r="X108" s="27" t="str">
        <x:v>T1_candidate</x:v>
      </x:c>
      <x:c r="Y108" s="27" t="str">
        <x:v>owned</x:v>
      </x:c>
      <x:c r="Z108" s="27" t="str"/>
      <x:c r="AA108" s="27" t="str"/>
      <x:c r="AB108" s="27" t="str"/>
      <x:c r="AC108" s="27" t="str">
        <x:v>C:\PRAGMA_THESIS_LOCAL\02_문헌\학술문헌\[02-004]_Ren(2019)_Pragmatic development of Chinese during study abroad_중국어화용능력·요청화행.pdf</x:v>
      </x:c>
      <x:c r="AD108" s="27" t="str">
        <x:v>2026-08-14T13:13:38</x:v>
      </x:c>
      <x:c r="AE108" s="28" t="n">
        <x:v>465407</x:v>
      </x:c>
      <x:c r="AF108" s="27" t="str">
        <x:v>fb033b9297c6aa2e3ea42183cc0502167a1ba441b14191fd37c49d6e3ad61e3e</x:v>
      </x:c>
      <x:c r="AG108" s="27" t="str"/>
    </x:row>
    <x:row r="109" ht="18" customHeight="1">
      <x:c r="A109" s="27" t="str">
        <x:v>LIT-20260814-108</x:v>
      </x:c>
      <x:c r="B109" s="27" t="str">
        <x:v>02-004</x:v>
      </x:c>
      <x:c r="C109" s="27" t="str">
        <x:v>en</x:v>
      </x:c>
      <x:c r="D109" s="27" t="str">
        <x:v>[02-004]_Roever_Teaching and Testing L2 Pragmatics (발췌)_화용평가·판단산출분리.md</x:v>
      </x:c>
      <x:c r="E109" s="27" t="str">
        <x:v>MD</x:v>
      </x:c>
      <x:c r="F109" s="27"/>
      <x:c r="G109" s="27" t="str">
        <x:v>excerpt</x:v>
      </x:c>
      <x:c r="H109" s="27" t="str">
        <x:v>native</x:v>
      </x:c>
      <x:c r="I109" s="27" t="str">
        <x:v>Roever</x:v>
      </x:c>
      <x:c r="J109" s="27" t="str"/>
      <x:c r="K109" s="27" t="str">
        <x:v>Teaching and Testing L2 Pragmatics (발췌)</x:v>
      </x:c>
      <x:c r="L109" s="27" t="str">
        <x:v>화용평가·판단산출분리</x:v>
      </x:c>
      <x:c r="M109" s="27" t="str">
        <x:v>unverified</x:v>
      </x:c>
      <x:c r="N109" s="27" t="str">
        <x:v>M0</x:v>
      </x:c>
      <x:c r="O109" s="27" t="str"/>
      <x:c r="P109" s="27"/>
      <x:c r="Q109" s="27"/>
      <x:c r="R109" s="27"/>
      <x:c r="S109" s="27"/>
      <x:c r="T109" s="27"/>
      <x:c r="U109" s="27"/>
      <x:c r="V109" s="27" t="str">
        <x:f>IF(COUNTA(P109:U109)=0,"",SUM(P109:U109))</x:f>
      </x:c>
      <x:c r="W109" s="27" t="str">
        <x:v>02-004</x:v>
      </x:c>
      <x:c r="X109" s="27" t="str">
        <x:v>T1_candidate</x:v>
      </x:c>
      <x:c r="Y109" s="27" t="str">
        <x:v>owned</x:v>
      </x:c>
      <x:c r="Z109" s="27" t="str">
        <x:v>year_unverified</x:v>
      </x:c>
      <x:c r="AA109" s="27" t="str"/>
      <x:c r="AB109" s="27" t="str"/>
      <x:c r="AC109" s="27" t="str">
        <x:v>C:\PRAGMA_THESIS_LOCAL\02_문헌\학술문헌\[02-004]_Roever_Teaching and Testing L2 Pragmatics (발췌)_화용평가·판단산출분리.md</x:v>
      </x:c>
      <x:c r="AD109" s="27" t="str">
        <x:v>2026-07-20T13:47:33</x:v>
      </x:c>
      <x:c r="AE109" s="28" t="n">
        <x:v>352002</x:v>
      </x:c>
      <x:c r="AF109" s="27" t="str">
        <x:v>d3d2749e41f634cb0339e15cd2da9ab9ee95d531d9756415de251495572844e5</x:v>
      </x:c>
      <x:c r="AG109" s="27" t="str"/>
    </x:row>
    <x:row r="110" ht="18" customHeight="1">
      <x:c r="A110" s="27" t="str">
        <x:v>LIT-20260814-109</x:v>
      </x:c>
      <x:c r="B110" s="27" t="str">
        <x:v>02-004</x:v>
      </x:c>
      <x:c r="C110" s="27" t="str">
        <x:v>en</x:v>
      </x:c>
      <x:c r="D110" s="27" t="str">
        <x:v>[02-004]_Sydorenko et al.(2014)_Rater Behaviour When Judging Language Learners' Pragmatic Appropriateness_적절성평정·평가자행동.pdf</x:v>
      </x:c>
      <x:c r="E110" s="27" t="str">
        <x:v>PDF</x:v>
      </x:c>
      <x:c r="F110" s="27" t="n">
        <x:v>23</x:v>
      </x:c>
      <x:c r="G110" s="27" t="str">
        <x:v>full</x:v>
      </x:c>
      <x:c r="H110" s="27" t="str">
        <x:v>native</x:v>
      </x:c>
      <x:c r="I110" s="27" t="str">
        <x:v>Sydorenko et al.</x:v>
      </x:c>
      <x:c r="J110" s="27" t="str">
        <x:v>2014</x:v>
      </x:c>
      <x:c r="K110" s="27" t="str">
        <x:v>Rater Behaviour When Judging Language Learners' Pragmatic Appropriateness</x:v>
      </x:c>
      <x:c r="L110" s="27" t="str">
        <x:v>적절성평정·평가자행동</x:v>
      </x:c>
      <x:c r="M110" s="27" t="str">
        <x:v>unverified</x:v>
      </x:c>
      <x:c r="N110" s="27" t="str">
        <x:v>M0</x:v>
      </x:c>
      <x:c r="O110" s="27" t="str"/>
      <x:c r="P110" s="27"/>
      <x:c r="Q110" s="27"/>
      <x:c r="R110" s="27"/>
      <x:c r="S110" s="27"/>
      <x:c r="T110" s="27"/>
      <x:c r="U110" s="27"/>
      <x:c r="V110" s="27" t="str">
        <x:f>IF(COUNTA(P110:U110)=0,"",SUM(P110:U110))</x:f>
      </x:c>
      <x:c r="W110" s="27" t="str">
        <x:v>02-004</x:v>
      </x:c>
      <x:c r="X110" s="27" t="str">
        <x:v>T1_candidate</x:v>
      </x:c>
      <x:c r="Y110" s="27" t="str">
        <x:v>owned</x:v>
      </x:c>
      <x:c r="Z110" s="27" t="str"/>
      <x:c r="AA110" s="27" t="str"/>
      <x:c r="AB110" s="27" t="str"/>
      <x:c r="AC110" s="27" t="str">
        <x:v>C:\PRAGMA_THESIS_LOCAL\02_문헌\학술문헌\[02-004]_Sydorenko et al.(2014)_Rater Behaviour When Judging Language Learners' Pragmatic Appropriateness_적절성평정·평가자행동.pdf</x:v>
      </x:c>
      <x:c r="AD110" s="27" t="str">
        <x:v>2026-07-26T12:19:24</x:v>
      </x:c>
      <x:c r="AE110" s="28" t="n">
        <x:v>604725</x:v>
      </x:c>
      <x:c r="AF110" s="27" t="str">
        <x:v>314070589b1df736b119a12db6b0bedb9de9099d07a97ea79f02efe9465d3d62</x:v>
      </x:c>
      <x:c r="AG110" s="27" t="str"/>
    </x:row>
    <x:row r="111" ht="18" customHeight="1">
      <x:c r="A111" s="27" t="str">
        <x:v>LIT-20260814-110</x:v>
      </x:c>
      <x:c r="B111" s="27" t="str">
        <x:v>02-004</x:v>
      </x:c>
      <x:c r="C111" s="27" t="str">
        <x:v>en</x:v>
      </x:c>
      <x:c r="D111" s="27" t="str">
        <x:v>[02-004]_Taguchi(2011)_Rater Variation in the Assessment of Speech Acts_평정자변산·사람판정.pdf</x:v>
      </x:c>
      <x:c r="E111" s="27" t="str">
        <x:v>PDF</x:v>
      </x:c>
      <x:c r="F111" s="27" t="n">
        <x:v>19</x:v>
      </x:c>
      <x:c r="G111" s="27" t="str">
        <x:v>full</x:v>
      </x:c>
      <x:c r="H111" s="27" t="str">
        <x:v>native</x:v>
      </x:c>
      <x:c r="I111" s="27" t="str">
        <x:v>Taguchi</x:v>
      </x:c>
      <x:c r="J111" s="27" t="str">
        <x:v>2011</x:v>
      </x:c>
      <x:c r="K111" s="27" t="str">
        <x:v>Rater Variation in the Assessment of Speech Acts</x:v>
      </x:c>
      <x:c r="L111" s="27" t="str">
        <x:v>평정자변산·사람판정</x:v>
      </x:c>
      <x:c r="M111" s="27" t="str">
        <x:v>unverified</x:v>
      </x:c>
      <x:c r="N111" s="27" t="str">
        <x:v>M0</x:v>
      </x:c>
      <x:c r="O111" s="27" t="str"/>
      <x:c r="P111" s="27"/>
      <x:c r="Q111" s="27"/>
      <x:c r="R111" s="27"/>
      <x:c r="S111" s="27"/>
      <x:c r="T111" s="27"/>
      <x:c r="U111" s="27"/>
      <x:c r="V111" s="27" t="str">
        <x:f>IF(COUNTA(P111:U111)=0,"",SUM(P111:U111))</x:f>
      </x:c>
      <x:c r="W111" s="27" t="str">
        <x:v>02-004</x:v>
      </x:c>
      <x:c r="X111" s="27" t="str">
        <x:v>T1_candidate</x:v>
      </x:c>
      <x:c r="Y111" s="27" t="str">
        <x:v>owned</x:v>
      </x:c>
      <x:c r="Z111" s="27" t="str"/>
      <x:c r="AA111" s="27" t="str"/>
      <x:c r="AB111" s="27" t="str"/>
      <x:c r="AC111" s="27" t="str">
        <x:v>C:\PRAGMA_THESIS_LOCAL\02_문헌\학술문헌\[02-004]_Taguchi(2011)_Rater Variation in the Assessment of Speech Acts_평정자변산·사람판정.pdf</x:v>
      </x:c>
      <x:c r="AD111" s="27" t="str">
        <x:v>2026-08-13T14:18:35</x:v>
      </x:c>
      <x:c r="AE111" s="28" t="n">
        <x:v>326919</x:v>
      </x:c>
      <x:c r="AF111" s="27" t="str">
        <x:v>ac58092947506b178fb5d1952ef9df7aa075db77e07ea15799f8575fe3e9323a</x:v>
      </x:c>
      <x:c r="AG111" s="27" t="str"/>
    </x:row>
    <x:row r="112" ht="18" customHeight="1">
      <x:c r="A112" s="27" t="str">
        <x:v>LIT-20260814-111</x:v>
      </x:c>
      <x:c r="B112" s="27" t="str">
        <x:v>02-004</x:v>
      </x:c>
      <x:c r="C112" s="27" t="str">
        <x:v>en</x:v>
      </x:c>
      <x:c r="D112" s="27" t="str">
        <x:v>[02-004]_Takimoto(2012)_Metapragmatic discussion in interlanguage pragmatics_메타화용토론·의식고양.pdf</x:v>
      </x:c>
      <x:c r="E112" s="27" t="str">
        <x:v>PDF</x:v>
      </x:c>
      <x:c r="F112" s="27" t="n">
        <x:v>14</x:v>
      </x:c>
      <x:c r="G112" s="27" t="str">
        <x:v>full</x:v>
      </x:c>
      <x:c r="H112" s="27" t="str">
        <x:v>native</x:v>
      </x:c>
      <x:c r="I112" s="27" t="str">
        <x:v>Takimoto</x:v>
      </x:c>
      <x:c r="J112" s="27" t="str">
        <x:v>2012</x:v>
      </x:c>
      <x:c r="K112" s="27" t="str">
        <x:v>Metapragmatic discussion in interlanguage pragmatics</x:v>
      </x:c>
      <x:c r="L112" s="27" t="str">
        <x:v>메타화용토론·의식고양</x:v>
      </x:c>
      <x:c r="M112" s="27" t="str">
        <x:v>unverified</x:v>
      </x:c>
      <x:c r="N112" s="27" t="str">
        <x:v>M0</x:v>
      </x:c>
      <x:c r="O112" s="27" t="str"/>
      <x:c r="P112" s="27"/>
      <x:c r="Q112" s="27"/>
      <x:c r="R112" s="27"/>
      <x:c r="S112" s="27"/>
      <x:c r="T112" s="27"/>
      <x:c r="U112" s="27"/>
      <x:c r="V112" s="27" t="str">
        <x:f>IF(COUNTA(P112:U112)=0,"",SUM(P112:U112))</x:f>
      </x:c>
      <x:c r="W112" s="27" t="str">
        <x:v>02-004</x:v>
      </x:c>
      <x:c r="X112" s="27" t="str">
        <x:v>T1_candidate</x:v>
      </x:c>
      <x:c r="Y112" s="27" t="str">
        <x:v>owned</x:v>
      </x:c>
      <x:c r="Z112" s="27" t="str"/>
      <x:c r="AA112" s="27" t="str"/>
      <x:c r="AB112" s="27" t="str"/>
      <x:c r="AC112" s="27" t="str">
        <x:v>C:\PRAGMA_THESIS_LOCAL\02_문헌\학술문헌\[02-004]_Takimoto(2012)_Metapragmatic discussion in interlanguage pragmatics_메타화용토론·의식고양.pdf</x:v>
      </x:c>
      <x:c r="AD112" s="27" t="str">
        <x:v>2026-08-13T16:03:50</x:v>
      </x:c>
      <x:c r="AE112" s="28" t="n">
        <x:v>326048</x:v>
      </x:c>
      <x:c r="AF112" s="27" t="str">
        <x:v>fbc1ac78ba93c65602459696a4d315db389ce6df9575e80436e0f09a387c7a1e</x:v>
      </x:c>
      <x:c r="AG112" s="27" t="str"/>
    </x:row>
    <x:row r="113" ht="18" customHeight="1">
      <x:c r="A113" s="27" t="str">
        <x:v>LIT-20260814-112</x:v>
      </x:c>
      <x:c r="B113" s="27" t="str">
        <x:v>02-004</x:v>
      </x:c>
      <x:c r="C113" s="27" t="str">
        <x:v>en</x:v>
      </x:c>
      <x:c r="D113" s="27" t="str">
        <x:v>[02-004]_Yang(2016)_Learning to Express Gratitude in Mandarin Chinese through Web-Based Instruction_웹기반교수·감사화행.pdf</x:v>
      </x:c>
      <x:c r="E113" s="27" t="str">
        <x:v>PDF</x:v>
      </x:c>
      <x:c r="F113" s="27" t="n">
        <x:v>18</x:v>
      </x:c>
      <x:c r="G113" s="27" t="str">
        <x:v>full</x:v>
      </x:c>
      <x:c r="H113" s="27" t="str">
        <x:v>native</x:v>
      </x:c>
      <x:c r="I113" s="27" t="str">
        <x:v>Yang</x:v>
      </x:c>
      <x:c r="J113" s="27" t="str">
        <x:v>2016</x:v>
      </x:c>
      <x:c r="K113" s="27" t="str">
        <x:v>Learning to Express Gratitude in Mandarin Chinese through Web-Based Instruction</x:v>
      </x:c>
      <x:c r="L113" s="27" t="str">
        <x:v>웹기반교수·감사화행</x:v>
      </x:c>
      <x:c r="M113" s="27" t="str">
        <x:v>unverified</x:v>
      </x:c>
      <x:c r="N113" s="27" t="str">
        <x:v>M0</x:v>
      </x:c>
      <x:c r="O113" s="27" t="str"/>
      <x:c r="P113" s="27"/>
      <x:c r="Q113" s="27"/>
      <x:c r="R113" s="27"/>
      <x:c r="S113" s="27"/>
      <x:c r="T113" s="27"/>
      <x:c r="U113" s="27"/>
      <x:c r="V113" s="27" t="str">
        <x:f>IF(COUNTA(P113:U113)=0,"",SUM(P113:U113))</x:f>
      </x:c>
      <x:c r="W113" s="27" t="str">
        <x:v>02-004</x:v>
      </x:c>
      <x:c r="X113" s="27" t="str">
        <x:v>T1_candidate</x:v>
      </x:c>
      <x:c r="Y113" s="27" t="str">
        <x:v>owned</x:v>
      </x:c>
      <x:c r="Z113" s="27" t="str"/>
      <x:c r="AA113" s="27" t="str"/>
      <x:c r="AB113" s="27" t="str"/>
      <x:c r="AC113" s="27" t="str">
        <x:v>C:\PRAGMA_THESIS_LOCAL\02_문헌\학술문헌\[02-004]_Yang(2016)_Learning to Express Gratitude in Mandarin Chinese through Web-Based Instruction_웹기반교수·감사화행.pdf</x:v>
      </x:c>
      <x:c r="AD113" s="27" t="str">
        <x:v>2026-07-26T12:15:23</x:v>
      </x:c>
      <x:c r="AE113" s="28" t="n">
        <x:v>185704</x:v>
      </x:c>
      <x:c r="AF113" s="27" t="str">
        <x:v>9da4d653ecf12fa1f83d3563e32e6cd0c37214ca04004ade1009f6ba1e62f1c7</x:v>
      </x:c>
      <x:c r="AG113" s="27" t="str"/>
    </x:row>
    <x:row r="114" ht="18" customHeight="1">
      <x:c r="A114" s="27" t="str">
        <x:v>LIT-20260814-113</x:v>
      </x:c>
      <x:c r="B114" s="27" t="str">
        <x:v>02-004</x:v>
      </x:c>
      <x:c r="C114" s="27" t="str">
        <x:v>en</x:v>
      </x:c>
      <x:c r="D114" s="27" t="str">
        <x:v>[02-004]_Yang(2017)_The Effects of L2 Proficiency on Pragmatics Instruction Chinese Expressions of Gratitude_웹기반교수·숙달도효과.pdf</x:v>
      </x:c>
      <x:c r="E114" s="27" t="str">
        <x:v>PDF</x:v>
      </x:c>
      <x:c r="F114" s="27" t="n">
        <x:v>23</x:v>
      </x:c>
      <x:c r="G114" s="27" t="str">
        <x:v>full</x:v>
      </x:c>
      <x:c r="H114" s="27" t="str">
        <x:v>native</x:v>
      </x:c>
      <x:c r="I114" s="27" t="str">
        <x:v>Yang</x:v>
      </x:c>
      <x:c r="J114" s="27" t="str">
        <x:v>2017</x:v>
      </x:c>
      <x:c r="K114" s="27" t="str">
        <x:v>The Effects of L2 Proficiency on Pragmatics Instruction Chinese Expressions of Gratitude</x:v>
      </x:c>
      <x:c r="L114" s="27" t="str">
        <x:v>웹기반교수·숙달도효과</x:v>
      </x:c>
      <x:c r="M114" s="27" t="str">
        <x:v>unverified</x:v>
      </x:c>
      <x:c r="N114" s="27" t="str">
        <x:v>M0</x:v>
      </x:c>
      <x:c r="O114" s="27" t="str"/>
      <x:c r="P114" s="27"/>
      <x:c r="Q114" s="27"/>
      <x:c r="R114" s="27"/>
      <x:c r="S114" s="27"/>
      <x:c r="T114" s="27"/>
      <x:c r="U114" s="27"/>
      <x:c r="V114" s="27" t="str">
        <x:f>IF(COUNTA(P114:U114)=0,"",SUM(P114:U114))</x:f>
      </x:c>
      <x:c r="W114" s="27" t="str">
        <x:v>02-004</x:v>
      </x:c>
      <x:c r="X114" s="27" t="str">
        <x:v>T1_candidate</x:v>
      </x:c>
      <x:c r="Y114" s="27" t="str">
        <x:v>owned</x:v>
      </x:c>
      <x:c r="Z114" s="27" t="str"/>
      <x:c r="AA114" s="27" t="str"/>
      <x:c r="AB114" s="27" t="str"/>
      <x:c r="AC114" s="27" t="str">
        <x:v>C:\PRAGMA_THESIS_LOCAL\02_문헌\학술문헌\[02-004]_Yang(2017)_The Effects of L2 Proficiency on Pragmatics Instruction Chinese Expressions of Gratitude_웹기반교수·숙달도효과.pdf</x:v>
      </x:c>
      <x:c r="AD114" s="27" t="str">
        <x:v>2026-07-26T11:52:38</x:v>
      </x:c>
      <x:c r="AE114" s="28" t="n">
        <x:v>11207987</x:v>
      </x:c>
      <x:c r="AF114" s="27" t="str">
        <x:v>29d36f17196b1a8dacd617f261b7c64e8db72ca752c07beed8d7e969060e83b5</x:v>
      </x:c>
      <x:c r="AG114" s="27" t="str"/>
    </x:row>
    <x:row r="115" ht="18" customHeight="1">
      <x:c r="A115" s="27" t="str">
        <x:v>LIT-20260814-114</x:v>
      </x:c>
      <x:c r="B115" s="27" t="str">
        <x:v>02-004</x:v>
      </x:c>
      <x:c r="C115" s="27" t="str">
        <x:v>en</x:v>
      </x:c>
      <x:c r="D115" s="27" t="str">
        <x:v>[02-004]_Youn(2025)_AI 기반 화용 말하기 평가_화용평가·Rasch분석.pdf</x:v>
      </x:c>
      <x:c r="E115" s="27" t="str">
        <x:v>PDF</x:v>
      </x:c>
      <x:c r="F115" s="27" t="n">
        <x:v>27</x:v>
      </x:c>
      <x:c r="G115" s="27" t="str">
        <x:v>full</x:v>
      </x:c>
      <x:c r="H115" s="27" t="str">
        <x:v>native</x:v>
      </x:c>
      <x:c r="I115" s="27" t="str">
        <x:v>Youn</x:v>
      </x:c>
      <x:c r="J115" s="27" t="str">
        <x:v>2025</x:v>
      </x:c>
      <x:c r="K115" s="27" t="str">
        <x:v>AI 기반 화용 말하기 평가</x:v>
      </x:c>
      <x:c r="L115" s="27" t="str">
        <x:v>화용평가·Rasch분석</x:v>
      </x:c>
      <x:c r="M115" s="27" t="str">
        <x:v>unverified</x:v>
      </x:c>
      <x:c r="N115" s="27" t="str">
        <x:v>M0</x:v>
      </x:c>
      <x:c r="O115" s="27" t="str"/>
      <x:c r="P115" s="27"/>
      <x:c r="Q115" s="27"/>
      <x:c r="R115" s="27"/>
      <x:c r="S115" s="27"/>
      <x:c r="T115" s="27"/>
      <x:c r="U115" s="27"/>
      <x:c r="V115" s="27" t="str">
        <x:f>IF(COUNTA(P115:U115)=0,"",SUM(P115:U115))</x:f>
      </x:c>
      <x:c r="W115" s="27" t="str">
        <x:v>02-004</x:v>
      </x:c>
      <x:c r="X115" s="27" t="str">
        <x:v>T1_candidate</x:v>
      </x:c>
      <x:c r="Y115" s="27" t="str">
        <x:v>owned</x:v>
      </x:c>
      <x:c r="Z115" s="27" t="str"/>
      <x:c r="AA115" s="27" t="str"/>
      <x:c r="AB115" s="27" t="str"/>
      <x:c r="AC115" s="27" t="str">
        <x:v>C:\PRAGMA_THESIS_LOCAL\02_문헌\학술문헌\[02-004]_Youn(2025)_AI 기반 화용 말하기 평가_화용평가·Rasch분석.pdf</x:v>
      </x:c>
      <x:c r="AD115" s="27" t="str">
        <x:v>2026-06-14T16:08:51</x:v>
      </x:c>
      <x:c r="AE115" s="28" t="n">
        <x:v>634053</x:v>
      </x:c>
      <x:c r="AF115" s="27" t="str">
        <x:v>889a187919d4ad1f26af2f84adf3051b86e7a302dc440dd95e7c6b5b77db6646</x:v>
      </x:c>
      <x:c r="AG115" s="27" t="str"/>
    </x:row>
    <x:row r="116" ht="18" customHeight="1">
      <x:c r="A116" s="27" t="str">
        <x:v>LIT-20260814-115</x:v>
      </x:c>
      <x:c r="B116" s="27" t="str">
        <x:v>02-004</x:v>
      </x:c>
      <x:c r="C116" s="27" t="str">
        <x:v>zh</x:v>
      </x:c>
      <x:c r="D116" s="27" t="str">
        <x:v>[02-004]_刘丽艳(2006)_跨文化交际中话语标记的习得与误用_담화표지·메타화용의식.pdf</x:v>
      </x:c>
      <x:c r="E116" s="27" t="str">
        <x:v>PDF</x:v>
      </x:c>
      <x:c r="F116" s="27" t="n">
        <x:v>8</x:v>
      </x:c>
      <x:c r="G116" s="27" t="str">
        <x:v>full</x:v>
      </x:c>
      <x:c r="H116" s="27" t="str">
        <x:v>native</x:v>
      </x:c>
      <x:c r="I116" s="27" t="str">
        <x:v>刘丽艳</x:v>
      </x:c>
      <x:c r="J116" s="27" t="str">
        <x:v>2006</x:v>
      </x:c>
      <x:c r="K116" s="27" t="str">
        <x:v>跨文化交际中话语标记的习得与误用</x:v>
      </x:c>
      <x:c r="L116" s="27" t="str">
        <x:v>담화표지·메타화용의식</x:v>
      </x:c>
      <x:c r="M116" s="27" t="str">
        <x:v>unverified</x:v>
      </x:c>
      <x:c r="N116" s="27" t="str">
        <x:v>M0</x:v>
      </x:c>
      <x:c r="O116" s="27" t="str"/>
      <x:c r="P116" s="27"/>
      <x:c r="Q116" s="27"/>
      <x:c r="R116" s="27"/>
      <x:c r="S116" s="27"/>
      <x:c r="T116" s="27"/>
      <x:c r="U116" s="27"/>
      <x:c r="V116" s="27" t="str">
        <x:f>IF(COUNTA(P116:U116)=0,"",SUM(P116:U116))</x:f>
      </x:c>
      <x:c r="W116" s="27" t="str">
        <x:v>02-004</x:v>
      </x:c>
      <x:c r="X116" s="27" t="str">
        <x:v>T1_candidate</x:v>
      </x:c>
      <x:c r="Y116" s="27" t="str">
        <x:v>owned</x:v>
      </x:c>
      <x:c r="Z116" s="27" t="str"/>
      <x:c r="AA116" s="27" t="str"/>
      <x:c r="AB116" s="27" t="str"/>
      <x:c r="AC116" s="27" t="str">
        <x:v>C:\PRAGMA_THESIS_LOCAL\02_문헌\학술문헌\[02-004]_刘丽艳(2006)_跨文化交际中话语标记的习得与误用_담화표지·메타화용의식.pdf</x:v>
      </x:c>
      <x:c r="AD116" s="27" t="str">
        <x:v>2026-08-14T11:28:06</x:v>
      </x:c>
      <x:c r="AE116" s="28" t="n">
        <x:v>241980</x:v>
      </x:c>
      <x:c r="AF116" s="27" t="str">
        <x:v>acd743010d1debfefef57eef6b3d18de41f6ac12054661b1acb7702419b7b9cb</x:v>
      </x:c>
      <x:c r="AG116" s="27" t="str"/>
    </x:row>
    <x:row r="117" ht="18" customHeight="1">
      <x:c r="A117" s="27" t="str">
        <x:v>LIT-20260814-116</x:v>
      </x:c>
      <x:c r="B117" s="27" t="str">
        <x:v>02-004</x:v>
      </x:c>
      <x:c r="C117" s="27" t="str">
        <x:v>zh</x:v>
      </x:c>
      <x:c r="D117" s="27" t="str">
        <x:v>[02-004]_刘建达 等(2022)_汉语母语者与非汉语母语学习者言语行为的元语用评估_메타화용평가·상황변수인식.pdf</x:v>
      </x:c>
      <x:c r="E117" s="27" t="str">
        <x:v>PDF</x:v>
      </x:c>
      <x:c r="F117" s="27" t="n">
        <x:v>13</x:v>
      </x:c>
      <x:c r="G117" s="27" t="str">
        <x:v>full</x:v>
      </x:c>
      <x:c r="H117" s="27" t="str">
        <x:v>native</x:v>
      </x:c>
      <x:c r="I117" s="27" t="str">
        <x:v>刘建达 等</x:v>
      </x:c>
      <x:c r="J117" s="27" t="str">
        <x:v>2022</x:v>
      </x:c>
      <x:c r="K117" s="27" t="str">
        <x:v>汉语母语者与非汉语母语学习者言语行为的元语用评估</x:v>
      </x:c>
      <x:c r="L117" s="27" t="str">
        <x:v>메타화용평가·상황변수인식</x:v>
      </x:c>
      <x:c r="M117" s="27" t="str">
        <x:v>unverified</x:v>
      </x:c>
      <x:c r="N117" s="27" t="str">
        <x:v>M0</x:v>
      </x:c>
      <x:c r="O117" s="27" t="str"/>
      <x:c r="P117" s="27"/>
      <x:c r="Q117" s="27"/>
      <x:c r="R117" s="27"/>
      <x:c r="S117" s="27"/>
      <x:c r="T117" s="27"/>
      <x:c r="U117" s="27"/>
      <x:c r="V117" s="27" t="str">
        <x:f>IF(COUNTA(P117:U117)=0,"",SUM(P117:U117))</x:f>
      </x:c>
      <x:c r="W117" s="27" t="str">
        <x:v>02-004</x:v>
      </x:c>
      <x:c r="X117" s="27" t="str">
        <x:v>T1_candidate</x:v>
      </x:c>
      <x:c r="Y117" s="27" t="str">
        <x:v>owned</x:v>
      </x:c>
      <x:c r="Z117" s="27" t="str"/>
      <x:c r="AA117" s="27" t="str"/>
      <x:c r="AB117" s="27" t="str"/>
      <x:c r="AC117" s="27" t="str">
        <x:v>C:\PRAGMA_THESIS_LOCAL\02_문헌\학술문헌\[02-004]_刘建达 等(2022)_汉语母语者与非汉语母语学习者言语行为的元语用评估_메타화용평가·상황변수인식.pdf</x:v>
      </x:c>
      <x:c r="AD117" s="27" t="str">
        <x:v>2026-08-14T11:06:38</x:v>
      </x:c>
      <x:c r="AE117" s="28" t="n">
        <x:v>1189822</x:v>
      </x:c>
      <x:c r="AF117" s="27" t="str">
        <x:v>ec94db999ec8b32cb75e98cccdabe11b10f10a770fc6b4f59bb3d6b956e2211d</x:v>
      </x:c>
      <x:c r="AG117" s="27" t="str"/>
    </x:row>
    <x:row r="118" ht="18" customHeight="1">
      <x:c r="A118" s="27" t="str">
        <x:v>LIT-20260814-117</x:v>
      </x:c>
      <x:c r="B118" s="27" t="str">
        <x:v>02-004</x:v>
      </x:c>
      <x:c r="C118" s="27" t="str">
        <x:v>zh</x:v>
      </x:c>
      <x:c r="D118" s="27" t="str">
        <x:v>[02-004]_应洁琼(2018)_基于语言社会化理论的留学生汉语语用能力发展研究_중국어화용능력·요청화행.pdf</x:v>
      </x:c>
      <x:c r="E118" s="27" t="str">
        <x:v>PDF</x:v>
      </x:c>
      <x:c r="F118" s="27" t="n">
        <x:v>10</x:v>
      </x:c>
      <x:c r="G118" s="27" t="str">
        <x:v>full</x:v>
      </x:c>
      <x:c r="H118" s="27" t="str">
        <x:v>native</x:v>
      </x:c>
      <x:c r="I118" s="27" t="str">
        <x:v>应洁琼</x:v>
      </x:c>
      <x:c r="J118" s="27" t="str">
        <x:v>2018</x:v>
      </x:c>
      <x:c r="K118" s="27" t="str">
        <x:v>基于语言社会化理论的留学生汉语语用能力发展研究</x:v>
      </x:c>
      <x:c r="L118" s="27" t="str">
        <x:v>중국어화용능력·요청화행</x:v>
      </x:c>
      <x:c r="M118" s="27" t="str">
        <x:v>unverified</x:v>
      </x:c>
      <x:c r="N118" s="27" t="str">
        <x:v>M0</x:v>
      </x:c>
      <x:c r="O118" s="27" t="str"/>
      <x:c r="P118" s="27"/>
      <x:c r="Q118" s="27"/>
      <x:c r="R118" s="27"/>
      <x:c r="S118" s="27"/>
      <x:c r="T118" s="27"/>
      <x:c r="U118" s="27"/>
      <x:c r="V118" s="27" t="str">
        <x:f>IF(COUNTA(P118:U118)=0,"",SUM(P118:U118))</x:f>
      </x:c>
      <x:c r="W118" s="27" t="str">
        <x:v>02-004</x:v>
      </x:c>
      <x:c r="X118" s="27" t="str">
        <x:v>T1_candidate</x:v>
      </x:c>
      <x:c r="Y118" s="27" t="str">
        <x:v>owned</x:v>
      </x:c>
      <x:c r="Z118" s="27" t="str"/>
      <x:c r="AA118" s="27" t="str"/>
      <x:c r="AB118" s="27" t="str"/>
      <x:c r="AC118" s="27" t="str">
        <x:v>C:\PRAGMA_THESIS_LOCAL\02_문헌\학술문헌\[02-004]_应洁琼(2018)_基于语言社会化理论的留学生汉语语用能力发展研究_중국어화용능력·요청화행.pdf</x:v>
      </x:c>
      <x:c r="AD118" s="27" t="str">
        <x:v>2026-08-14T11:05:14</x:v>
      </x:c>
      <x:c r="AE118" s="28" t="n">
        <x:v>169267</x:v>
      </x:c>
      <x:c r="AF118" s="27" t="str">
        <x:v>18da2636f311a42f3ef46b63a1a7e72dff685db59ebd5df3c72c825c94529146</x:v>
      </x:c>
      <x:c r="AG118" s="27" t="str"/>
    </x:row>
    <x:row r="119" ht="18" customHeight="1">
      <x:c r="A119" s="27" t="str">
        <x:v>LIT-20260814-118</x:v>
      </x:c>
      <x:c r="B119" s="27" t="str">
        <x:v>02-004</x:v>
      </x:c>
      <x:c r="C119" s="27" t="str">
        <x:v>zh</x:v>
      </x:c>
      <x:c r="D119" s="27" t="str">
        <x:v>[02-004]_徐晶凝 等(2019)_建议言语行为内部调节手段的语用调控_내적완화·건의화행.pdf</x:v>
      </x:c>
      <x:c r="E119" s="27" t="str">
        <x:v>PDF</x:v>
      </x:c>
      <x:c r="F119" s="27" t="n">
        <x:v>16</x:v>
      </x:c>
      <x:c r="G119" s="27" t="str">
        <x:v>full</x:v>
      </x:c>
      <x:c r="H119" s="27" t="str">
        <x:v>native</x:v>
      </x:c>
      <x:c r="I119" s="27" t="str">
        <x:v>徐晶凝 等</x:v>
      </x:c>
      <x:c r="J119" s="27" t="str">
        <x:v>2019</x:v>
      </x:c>
      <x:c r="K119" s="27" t="str">
        <x:v>建议言语行为内部调节手段的语用调控</x:v>
      </x:c>
      <x:c r="L119" s="27" t="str">
        <x:v>내적완화·건의화행</x:v>
      </x:c>
      <x:c r="M119" s="27" t="str">
        <x:v>unverified</x:v>
      </x:c>
      <x:c r="N119" s="27" t="str">
        <x:v>M0</x:v>
      </x:c>
      <x:c r="O119" s="27" t="str"/>
      <x:c r="P119" s="27"/>
      <x:c r="Q119" s="27"/>
      <x:c r="R119" s="27"/>
      <x:c r="S119" s="27"/>
      <x:c r="T119" s="27"/>
      <x:c r="U119" s="27"/>
      <x:c r="V119" s="27" t="str">
        <x:f>IF(COUNTA(P119:U119)=0,"",SUM(P119:U119))</x:f>
      </x:c>
      <x:c r="W119" s="27" t="str">
        <x:v>02-004</x:v>
      </x:c>
      <x:c r="X119" s="27" t="str">
        <x:v>T1_candidate</x:v>
      </x:c>
      <x:c r="Y119" s="27" t="str">
        <x:v>owned</x:v>
      </x:c>
      <x:c r="Z119" s="27" t="str"/>
      <x:c r="AA119" s="27" t="str"/>
      <x:c r="AB119" s="27" t="str"/>
      <x:c r="AC119" s="27" t="str">
        <x:v>C:\PRAGMA_THESIS_LOCAL\02_문헌\학술문헌\[02-004]_徐晶凝 等(2019)_建议言语行为内部调节手段的语用调控_내적완화·건의화행.pdf</x:v>
      </x:c>
      <x:c r="AD119" s="27" t="str">
        <x:v>2026-08-14T11:04:56</x:v>
      </x:c>
      <x:c r="AE119" s="28" t="n">
        <x:v>234328</x:v>
      </x:c>
      <x:c r="AF119" s="27" t="str">
        <x:v>698d759b9b9ef58a639598da43200a899cbfc21f30e985d2fa3a6fe23c83d1bd</x:v>
      </x:c>
      <x:c r="AG119" s="27" t="str"/>
    </x:row>
    <x:row r="120" ht="18" customHeight="1">
      <x:c r="A120" s="27" t="str">
        <x:v>LIT-20260814-119</x:v>
      </x:c>
      <x:c r="B120" s="27" t="str">
        <x:v>02-004</x:v>
      </x:c>
      <x:c r="C120" s="27" t="str">
        <x:v>zh</x:v>
      </x:c>
      <x:c r="D120" s="27" t="str">
        <x:v>[02-004]_李茨婷 等(2024)_来华学生课外社交投入与汉语语用能力的社会网络分析_중국어화용능력·요청화행.pdf</x:v>
      </x:c>
      <x:c r="E120" s="27" t="str">
        <x:v>PDF</x:v>
      </x:c>
      <x:c r="F120" s="27" t="n">
        <x:v>12</x:v>
      </x:c>
      <x:c r="G120" s="27" t="str">
        <x:v>full</x:v>
      </x:c>
      <x:c r="H120" s="27" t="str">
        <x:v>native</x:v>
      </x:c>
      <x:c r="I120" s="27" t="str">
        <x:v>李茨婷 等</x:v>
      </x:c>
      <x:c r="J120" s="27" t="str">
        <x:v>2024</x:v>
      </x:c>
      <x:c r="K120" s="27" t="str">
        <x:v>来华学生课外社交投入与汉语语用能力的社会网络分析</x:v>
      </x:c>
      <x:c r="L120" s="27" t="str">
        <x:v>중국어화용능력·요청화행</x:v>
      </x:c>
      <x:c r="M120" s="27" t="str">
        <x:v>unverified</x:v>
      </x:c>
      <x:c r="N120" s="27" t="str">
        <x:v>M0</x:v>
      </x:c>
      <x:c r="O120" s="27" t="str"/>
      <x:c r="P120" s="27"/>
      <x:c r="Q120" s="27"/>
      <x:c r="R120" s="27"/>
      <x:c r="S120" s="27"/>
      <x:c r="T120" s="27"/>
      <x:c r="U120" s="27"/>
      <x:c r="V120" s="27" t="str">
        <x:f>IF(COUNTA(P120:U120)=0,"",SUM(P120:U120))</x:f>
      </x:c>
      <x:c r="W120" s="27" t="str">
        <x:v>02-004</x:v>
      </x:c>
      <x:c r="X120" s="27" t="str">
        <x:v>T1_candidate</x:v>
      </x:c>
      <x:c r="Y120" s="27" t="str">
        <x:v>owned</x:v>
      </x:c>
      <x:c r="Z120" s="27" t="str"/>
      <x:c r="AA120" s="27" t="str"/>
      <x:c r="AB120" s="27" t="str"/>
      <x:c r="AC120" s="27" t="str">
        <x:v>C:\PRAGMA_THESIS_LOCAL\02_문헌\학술문헌\[02-004]_李茨婷 等(2024)_来华学生课外社交投入与汉语语用能力的社会网络分析_중국어화용능력·요청화행.pdf</x:v>
      </x:c>
      <x:c r="AD120" s="27" t="str">
        <x:v>2026-08-14T11:11:08</x:v>
      </x:c>
      <x:c r="AE120" s="28" t="n">
        <x:v>1231773</x:v>
      </x:c>
      <x:c r="AF120" s="27" t="str">
        <x:v>383af838b0755b33e086b3bdbb5f449bf0fdf9a48e3978b57b2869400b02e9bd</x:v>
      </x:c>
      <x:c r="AG120" s="27" t="str"/>
    </x:row>
    <x:row r="121" ht="18" customHeight="1">
      <x:c r="A121" s="27" t="str">
        <x:v>LIT-20260814-120</x:v>
      </x:c>
      <x:c r="B121" s="27" t="str">
        <x:v>02-004</x:v>
      </x:c>
      <x:c r="C121" s="27" t="str">
        <x:v>zh</x:v>
      </x:c>
      <x:c r="D121" s="27" t="str">
        <x:v>[02-004]_王帅(2016)_汉语语用教学探索—以请求为例_중국어화용교수·요청화행.pdf</x:v>
      </x:c>
      <x:c r="E121" s="27" t="str">
        <x:v>PDF</x:v>
      </x:c>
      <x:c r="F121" s="27" t="n">
        <x:v>10</x:v>
      </x:c>
      <x:c r="G121" s="27" t="str">
        <x:v>full</x:v>
      </x:c>
      <x:c r="H121" s="27" t="str">
        <x:v>native</x:v>
      </x:c>
      <x:c r="I121" s="27" t="str">
        <x:v>王帅</x:v>
      </x:c>
      <x:c r="J121" s="27" t="str">
        <x:v>2016</x:v>
      </x:c>
      <x:c r="K121" s="27" t="str">
        <x:v>汉语语用教学探索—以请求为例</x:v>
      </x:c>
      <x:c r="L121" s="27" t="str">
        <x:v>중국어화용교수·요청화행</x:v>
      </x:c>
      <x:c r="M121" s="27" t="str">
        <x:v>unverified</x:v>
      </x:c>
      <x:c r="N121" s="27" t="str">
        <x:v>M0</x:v>
      </x:c>
      <x:c r="O121" s="27" t="str"/>
      <x:c r="P121" s="27"/>
      <x:c r="Q121" s="27"/>
      <x:c r="R121" s="27"/>
      <x:c r="S121" s="27"/>
      <x:c r="T121" s="27"/>
      <x:c r="U121" s="27"/>
      <x:c r="V121" s="27" t="str">
        <x:f>IF(COUNTA(P121:U121)=0,"",SUM(P121:U121))</x:f>
      </x:c>
      <x:c r="W121" s="27" t="str">
        <x:v>02-004</x:v>
      </x:c>
      <x:c r="X121" s="27" t="str">
        <x:v>T1_candidate</x:v>
      </x:c>
      <x:c r="Y121" s="27" t="str">
        <x:v>owned</x:v>
      </x:c>
      <x:c r="Z121" s="27" t="str"/>
      <x:c r="AA121" s="27" t="str"/>
      <x:c r="AB121" s="27" t="str"/>
      <x:c r="AC121" s="27" t="str">
        <x:v>C:\PRAGMA_THESIS_LOCAL\02_문헌\학술문헌\[02-004]_王帅(2016)_汉语语用教学探索—以请求为例_중국어화용교수·요청화행.pdf</x:v>
      </x:c>
      <x:c r="AD121" s="27" t="str">
        <x:v>2026-08-14T11:09:04</x:v>
      </x:c>
      <x:c r="AE121" s="28" t="n">
        <x:v>169640</x:v>
      </x:c>
      <x:c r="AF121" s="27" t="str">
        <x:v>1e0f02786554a4371c91fd85283f1f22e12bdc39e5e10063047df8213f47c906</x:v>
      </x:c>
      <x:c r="AG121" s="27" t="str"/>
    </x:row>
    <x:row r="122" ht="18" customHeight="1">
      <x:c r="A122" s="27" t="str">
        <x:v>LIT-20260814-121</x:v>
      </x:c>
      <x:c r="B122" s="27" t="str">
        <x:v>02-004</x:v>
      </x:c>
      <x:c r="C122" s="27" t="str">
        <x:v>zh</x:v>
      </x:c>
      <x:c r="D122" s="27" t="str">
        <x:v>[02-004]_王璐(2025)_汉语预序列情境下不同在华时长韩国留学生的提议策略选择加工研究_한국인학습자·제안전략.pdf</x:v>
      </x:c>
      <x:c r="E122" s="27" t="str">
        <x:v>PDF</x:v>
      </x:c>
      <x:c r="F122" s="27" t="n">
        <x:v>23</x:v>
      </x:c>
      <x:c r="G122" s="27" t="str">
        <x:v>full</x:v>
      </x:c>
      <x:c r="H122" s="27" t="str">
        <x:v>native</x:v>
      </x:c>
      <x:c r="I122" s="27" t="str">
        <x:v>王璐</x:v>
      </x:c>
      <x:c r="J122" s="27" t="str">
        <x:v>2025</x:v>
      </x:c>
      <x:c r="K122" s="27" t="str">
        <x:v>汉语预序列情境下不同在华时长韩国留学生的提议策略选择加工研究</x:v>
      </x:c>
      <x:c r="L122" s="27" t="str">
        <x:v>한국인학습자·제안전략</x:v>
      </x:c>
      <x:c r="M122" s="27" t="str">
        <x:v>unverified</x:v>
      </x:c>
      <x:c r="N122" s="27" t="str">
        <x:v>M0</x:v>
      </x:c>
      <x:c r="O122" s="27" t="str"/>
      <x:c r="P122" s="27"/>
      <x:c r="Q122" s="27"/>
      <x:c r="R122" s="27"/>
      <x:c r="S122" s="27"/>
      <x:c r="T122" s="27"/>
      <x:c r="U122" s="27"/>
      <x:c r="V122" s="27" t="str">
        <x:f>IF(COUNTA(P122:U122)=0,"",SUM(P122:U122))</x:f>
      </x:c>
      <x:c r="W122" s="27" t="str">
        <x:v>02-004</x:v>
      </x:c>
      <x:c r="X122" s="27" t="str">
        <x:v>T1_candidate</x:v>
      </x:c>
      <x:c r="Y122" s="27" t="str">
        <x:v>owned</x:v>
      </x:c>
      <x:c r="Z122" s="27" t="str"/>
      <x:c r="AA122" s="27" t="str"/>
      <x:c r="AB122" s="27" t="str"/>
      <x:c r="AC122" s="27" t="str">
        <x:v>C:\PRAGMA_THESIS_LOCAL\02_문헌\학술문헌\[02-004]_王璐(2025)_汉语预序列情境下不同在华时长韩国留学生的提议策略选择加工研究_한국인학습자·제안전략.pdf</x:v>
      </x:c>
      <x:c r="AD122" s="27" t="str">
        <x:v>2026-08-13T20:59:26</x:v>
      </x:c>
      <x:c r="AE122" s="28" t="n">
        <x:v>999689</x:v>
      </x:c>
      <x:c r="AF122" s="27" t="str">
        <x:v>a1329237fba115aa39ce369310d4170c9c61b0e584a7d49282348b10bd2965ff</x:v>
      </x:c>
      <x:c r="AG122" s="27" t="str"/>
    </x:row>
    <x:row r="123" ht="18" customHeight="1">
      <x:c r="A123" s="27" t="str">
        <x:v>LIT-20260814-122</x:v>
      </x:c>
      <x:c r="B123" s="27" t="str">
        <x:v>02-004</x:v>
      </x:c>
      <x:c r="C123" s="27" t="str">
        <x:v>zh</x:v>
      </x:c>
      <x:c r="D123" s="27" t="str">
        <x:v>[02-004]_王美玲_对外汉语文化语用教学研究_문화화용·중국고유공손.pdf</x:v>
      </x:c>
      <x:c r="E123" s="27" t="str">
        <x:v>PDF</x:v>
      </x:c>
      <x:c r="F123" s="27" t="n">
        <x:v>142</x:v>
      </x:c>
      <x:c r="G123" s="27" t="str">
        <x:v>full</x:v>
      </x:c>
      <x:c r="H123" s="27" t="str">
        <x:v>native</x:v>
      </x:c>
      <x:c r="I123" s="27" t="str">
        <x:v>王美玲</x:v>
      </x:c>
      <x:c r="J123" s="27" t="str"/>
      <x:c r="K123" s="27" t="str">
        <x:v>对外汉语文化语用教学研究</x:v>
      </x:c>
      <x:c r="L123" s="27" t="str">
        <x:v>문화화용·중국고유공손</x:v>
      </x:c>
      <x:c r="M123" s="27" t="str">
        <x:v>unverified</x:v>
      </x:c>
      <x:c r="N123" s="27" t="str">
        <x:v>M0</x:v>
      </x:c>
      <x:c r="O123" s="27" t="str"/>
      <x:c r="P123" s="27"/>
      <x:c r="Q123" s="27"/>
      <x:c r="R123" s="27"/>
      <x:c r="S123" s="27"/>
      <x:c r="T123" s="27"/>
      <x:c r="U123" s="27"/>
      <x:c r="V123" s="27" t="str">
        <x:f>IF(COUNTA(P123:U123)=0,"",SUM(P123:U123))</x:f>
      </x:c>
      <x:c r="W123" s="27" t="str">
        <x:v>02-004</x:v>
      </x:c>
      <x:c r="X123" s="27" t="str">
        <x:v>T1_candidate</x:v>
      </x:c>
      <x:c r="Y123" s="27" t="str">
        <x:v>owned</x:v>
      </x:c>
      <x:c r="Z123" s="27" t="str">
        <x:v>year_unverified</x:v>
      </x:c>
      <x:c r="AA123" s="27" t="str"/>
      <x:c r="AB123" s="27" t="str"/>
      <x:c r="AC123" s="27" t="str">
        <x:v>C:\PRAGMA_THESIS_LOCAL\02_문헌\학술문헌\[02-004]_王美玲_对外汉语文化语用教学研究_문화화용·중국고유공손.pdf</x:v>
      </x:c>
      <x:c r="AD123" s="27" t="str">
        <x:v>2026-08-14T11:17:44</x:v>
      </x:c>
      <x:c r="AE123" s="28" t="n">
        <x:v>13449247</x:v>
      </x:c>
      <x:c r="AF123" s="27" t="str">
        <x:v>5f9822e4bd65b860f0096118b561594b3487420c0ff21c9f919464868a65e404</x:v>
      </x:c>
      <x:c r="AG123" s="27" t="str"/>
    </x:row>
    <x:row r="124" ht="18" customHeight="1">
      <x:c r="A124" s="27" t="str">
        <x:v>LIT-20260814-123</x:v>
      </x:c>
      <x:c r="B124" s="27" t="str">
        <x:v>02-004</x:v>
      </x:c>
      <x:c r="C124" s="27" t="str">
        <x:v>zh</x:v>
      </x:c>
      <x:c r="D124" s="27" t="str">
        <x:v>[02-004]_黄玮莹 等(2026)_国际中文教育中文水平等级标准视域下汉语二语语用能力量表研制_화용능력척도·수준기술.pdf</x:v>
      </x:c>
      <x:c r="E124" s="27" t="str">
        <x:v>PDF</x:v>
      </x:c>
      <x:c r="F124" s="27" t="n">
        <x:v>10</x:v>
      </x:c>
      <x:c r="G124" s="27" t="str">
        <x:v>full</x:v>
      </x:c>
      <x:c r="H124" s="27" t="str">
        <x:v>native</x:v>
      </x:c>
      <x:c r="I124" s="27" t="str">
        <x:v>黄玮莹 等</x:v>
      </x:c>
      <x:c r="J124" s="27" t="str">
        <x:v>2026</x:v>
      </x:c>
      <x:c r="K124" s="27" t="str">
        <x:v>国际中文教育中文水平等级标准视域下汉语二语语用能力量表研制</x:v>
      </x:c>
      <x:c r="L124" s="27" t="str">
        <x:v>화용능력척도·수준기술</x:v>
      </x:c>
      <x:c r="M124" s="27" t="str">
        <x:v>unverified</x:v>
      </x:c>
      <x:c r="N124" s="27" t="str">
        <x:v>M0</x:v>
      </x:c>
      <x:c r="O124" s="27" t="str"/>
      <x:c r="P124" s="27"/>
      <x:c r="Q124" s="27"/>
      <x:c r="R124" s="27"/>
      <x:c r="S124" s="27"/>
      <x:c r="T124" s="27"/>
      <x:c r="U124" s="27"/>
      <x:c r="V124" s="27" t="str">
        <x:f>IF(COUNTA(P124:U124)=0,"",SUM(P124:U124))</x:f>
      </x:c>
      <x:c r="W124" s="27" t="str">
        <x:v>02-004</x:v>
      </x:c>
      <x:c r="X124" s="27" t="str">
        <x:v>T1_candidate</x:v>
      </x:c>
      <x:c r="Y124" s="27" t="str">
        <x:v>owned</x:v>
      </x:c>
      <x:c r="Z124" s="27" t="str"/>
      <x:c r="AA124" s="27" t="str"/>
      <x:c r="AB124" s="27" t="str"/>
      <x:c r="AC124" s="27" t="str">
        <x:v>C:\PRAGMA_THESIS_LOCAL\02_문헌\학술문헌\[02-004]_黄玮莹 等(2026)_国际中文教育中文水平等级标准视域下汉语二语语用能力量表研制_화용능력척도·수준기술.pdf</x:v>
      </x:c>
      <x:c r="AD124" s="27" t="str">
        <x:v>2026-08-14T11:18:34</x:v>
      </x:c>
      <x:c r="AE124" s="28" t="n">
        <x:v>863845</x:v>
      </x:c>
      <x:c r="AF124" s="27" t="str">
        <x:v>2f7f5d32bcbc58cd087528fe319c72d9c4e17a5cf60e0a84fccd0e61bc440395</x:v>
      </x:c>
      <x:c r="AG124" s="27" t="str"/>
    </x:row>
    <x:row r="125" ht="18" customHeight="1">
      <x:c r="A125" s="27" t="str">
        <x:v>LIT-20260814-124</x:v>
      </x:c>
      <x:c r="B125" s="27" t="str">
        <x:v>02-004</x:v>
      </x:c>
      <x:c r="C125" s="27" t="str">
        <x:v>ko</x:v>
      </x:c>
      <x:c r="D125" s="27" t="str">
        <x:v>[02-004]_박찬욱(2013)_중국어 말하기 교육을 위한 몇 가지 화용론적 제언 교재 속 지시화행 분석_교재분석·지시화행.pdf</x:v>
      </x:c>
      <x:c r="E125" s="27" t="str">
        <x:v>PDF</x:v>
      </x:c>
      <x:c r="F125" s="27" t="n">
        <x:v>36</x:v>
      </x:c>
      <x:c r="G125" s="27" t="str">
        <x:v>full</x:v>
      </x:c>
      <x:c r="H125" s="27" t="str">
        <x:v>native</x:v>
      </x:c>
      <x:c r="I125" s="27" t="str">
        <x:v>박찬욱</x:v>
      </x:c>
      <x:c r="J125" s="27" t="str">
        <x:v>2013</x:v>
      </x:c>
      <x:c r="K125" s="27" t="str">
        <x:v>중국어 말하기 교육을 위한 몇 가지 화용론적 제언 교재 속 지시화행 분석</x:v>
      </x:c>
      <x:c r="L125" s="27" t="str">
        <x:v>교재분석·지시화행</x:v>
      </x:c>
      <x:c r="M125" s="27" t="str">
        <x:v>unverified</x:v>
      </x:c>
      <x:c r="N125" s="27" t="str">
        <x:v>M0</x:v>
      </x:c>
      <x:c r="O125" s="27" t="str"/>
      <x:c r="P125" s="27"/>
      <x:c r="Q125" s="27"/>
      <x:c r="R125" s="27"/>
      <x:c r="S125" s="27"/>
      <x:c r="T125" s="27"/>
      <x:c r="U125" s="27"/>
      <x:c r="V125" s="27" t="str">
        <x:f>IF(COUNTA(P125:U125)=0,"",SUM(P125:U125))</x:f>
      </x:c>
      <x:c r="W125" s="27" t="str">
        <x:v>02-004</x:v>
      </x:c>
      <x:c r="X125" s="27" t="str">
        <x:v>T1_candidate</x:v>
      </x:c>
      <x:c r="Y125" s="27" t="str">
        <x:v>owned</x:v>
      </x:c>
      <x:c r="Z125" s="27" t="str"/>
      <x:c r="AA125" s="27" t="str"/>
      <x:c r="AB125" s="27" t="str"/>
      <x:c r="AC125" s="27" t="str">
        <x:v>C:\PRAGMA_THESIS_LOCAL\02_문헌\학술문헌\[02-004]_박찬욱(2013)_중국어 말하기 교육을 위한 몇 가지 화용론적 제언 교재 속 지시화행 분석_교재분석·지시화행.pdf</x:v>
      </x:c>
      <x:c r="AD125" s="27" t="str">
        <x:v>2026-08-13T20:32:35</x:v>
      </x:c>
      <x:c r="AE125" s="28" t="n">
        <x:v>1288183</x:v>
      </x:c>
      <x:c r="AF125" s="27" t="str">
        <x:v>132b9cd5dff6e534c37d493b4f2afca1d2182e03fa8d76cd98b642b661580f30</x:v>
      </x:c>
      <x:c r="AG125" s="27" t="str"/>
    </x:row>
    <x:row r="126" ht="18" customHeight="1">
      <x:c r="A126" s="27" t="str">
        <x:v>LIT-20260814-125</x:v>
      </x:c>
      <x:c r="B126" s="27" t="str">
        <x:v>02-004</x:v>
      </x:c>
      <x:c r="C126" s="27" t="str">
        <x:v>ko</x:v>
      </x:c>
      <x:c r="D126" s="27" t="str">
        <x:v>[02-004]_박찬욱(2017)_화용론 개념을 적용한 회화 교재 활용과 수업의 진행_화용교수·교재활용.pdf</x:v>
      </x:c>
      <x:c r="E126" s="27" t="str">
        <x:v>PDF</x:v>
      </x:c>
      <x:c r="F126" s="27" t="n">
        <x:v>21</x:v>
      </x:c>
      <x:c r="G126" s="27" t="str">
        <x:v>full</x:v>
      </x:c>
      <x:c r="H126" s="27" t="str">
        <x:v>native</x:v>
      </x:c>
      <x:c r="I126" s="27" t="str">
        <x:v>박찬욱</x:v>
      </x:c>
      <x:c r="J126" s="27" t="str">
        <x:v>2017</x:v>
      </x:c>
      <x:c r="K126" s="27" t="str">
        <x:v>화용론 개념을 적용한 회화 교재 활용과 수업의 진행</x:v>
      </x:c>
      <x:c r="L126" s="27" t="str">
        <x:v>화용교수·교재활용</x:v>
      </x:c>
      <x:c r="M126" s="27" t="str">
        <x:v>unverified</x:v>
      </x:c>
      <x:c r="N126" s="27" t="str">
        <x:v>M0</x:v>
      </x:c>
      <x:c r="O126" s="27" t="str"/>
      <x:c r="P126" s="27"/>
      <x:c r="Q126" s="27"/>
      <x:c r="R126" s="27"/>
      <x:c r="S126" s="27"/>
      <x:c r="T126" s="27"/>
      <x:c r="U126" s="27"/>
      <x:c r="V126" s="27" t="str">
        <x:f>IF(COUNTA(P126:U126)=0,"",SUM(P126:U126))</x:f>
      </x:c>
      <x:c r="W126" s="27" t="str">
        <x:v>02-004</x:v>
      </x:c>
      <x:c r="X126" s="27" t="str">
        <x:v>T1_candidate</x:v>
      </x:c>
      <x:c r="Y126" s="27" t="str">
        <x:v>owned</x:v>
      </x:c>
      <x:c r="Z126" s="27" t="str"/>
      <x:c r="AA126" s="27" t="str"/>
      <x:c r="AB126" s="27" t="str"/>
      <x:c r="AC126" s="27" t="str">
        <x:v>C:\PRAGMA_THESIS_LOCAL\02_문헌\학술문헌\[02-004]_박찬욱(2017)_화용론 개념을 적용한 회화 교재 활용과 수업의 진행_화용교수·교재활용.pdf</x:v>
      </x:c>
      <x:c r="AD126" s="27" t="str">
        <x:v>2026-08-13T20:33:07</x:v>
      </x:c>
      <x:c r="AE126" s="28" t="n">
        <x:v>2607314</x:v>
      </x:c>
      <x:c r="AF126" s="27" t="str">
        <x:v>4fc071296b68fa2c68d12b8b9075f531d46d774124517e78283bb19a13e4fd39</x:v>
      </x:c>
      <x:c r="AG126" s="27" t="str"/>
    </x:row>
    <x:row r="127" ht="18" customHeight="1">
      <x:c r="A127" s="27" t="str">
        <x:v>LIT-20260814-126</x:v>
      </x:c>
      <x:c r="B127" s="27" t="str">
        <x:v>02-004</x:v>
      </x:c>
      <x:c r="C127" s="27" t="str">
        <x:v>ko</x:v>
      </x:c>
      <x:c r="D127" s="27" t="str">
        <x:v>[02-004]_성인경_한국어 학습자의 화용 능력 평가를 위한 구인 연구 화행 중심_화용능력구인·평가설계.pdf</x:v>
      </x:c>
      <x:c r="E127" s="27" t="str">
        <x:v>PDF</x:v>
      </x:c>
      <x:c r="F127" s="27" t="n">
        <x:v>26</x:v>
      </x:c>
      <x:c r="G127" s="27" t="str">
        <x:v>full</x:v>
      </x:c>
      <x:c r="H127" s="27" t="str">
        <x:v>native</x:v>
      </x:c>
      <x:c r="I127" s="27" t="str">
        <x:v>성인경</x:v>
      </x:c>
      <x:c r="J127" s="27" t="str"/>
      <x:c r="K127" s="27" t="str">
        <x:v>한국어 학습자의 화용 능력 평가를 위한 구인 연구 화행 중심</x:v>
      </x:c>
      <x:c r="L127" s="27" t="str">
        <x:v>화용능력구인·평가설계</x:v>
      </x:c>
      <x:c r="M127" s="27" t="str">
        <x:v>unverified</x:v>
      </x:c>
      <x:c r="N127" s="27" t="str">
        <x:v>M0</x:v>
      </x:c>
      <x:c r="O127" s="27" t="str"/>
      <x:c r="P127" s="27"/>
      <x:c r="Q127" s="27"/>
      <x:c r="R127" s="27"/>
      <x:c r="S127" s="27"/>
      <x:c r="T127" s="27"/>
      <x:c r="U127" s="27"/>
      <x:c r="V127" s="27" t="str">
        <x:f>IF(COUNTA(P127:U127)=0,"",SUM(P127:U127))</x:f>
      </x:c>
      <x:c r="W127" s="27" t="str">
        <x:v>02-004</x:v>
      </x:c>
      <x:c r="X127" s="27" t="str">
        <x:v>T1_candidate</x:v>
      </x:c>
      <x:c r="Y127" s="27" t="str">
        <x:v>owned</x:v>
      </x:c>
      <x:c r="Z127" s="27" t="str">
        <x:v>year_unverified</x:v>
      </x:c>
      <x:c r="AA127" s="27" t="str"/>
      <x:c r="AB127" s="27" t="str"/>
      <x:c r="AC127" s="27" t="str">
        <x:v>C:\PRAGMA_THESIS_LOCAL\02_문헌\학술문헌\[02-004]_성인경_한국어 학습자의 화용 능력 평가를 위한 구인 연구 화행 중심_화용능력구인·평가설계.pdf</x:v>
      </x:c>
      <x:c r="AD127" s="27" t="str">
        <x:v>2026-08-13T20:54:29</x:v>
      </x:c>
      <x:c r="AE127" s="28" t="n">
        <x:v>440729</x:v>
      </x:c>
      <x:c r="AF127" s="27" t="str">
        <x:v>3b853b50048d01b3ed4f8a7ac18331558e8460bdefc559b37b89e3891097d367</x:v>
      </x:c>
      <x:c r="AG127" s="27" t="str">
        <x:v>YES</x:v>
      </x:c>
    </x:row>
    <x:row r="128" ht="18" customHeight="1">
      <x:c r="A128" s="27" t="str">
        <x:v>LIT-20260814-127</x:v>
      </x:c>
      <x:c r="B128" s="27" t="str">
        <x:v>02-004</x:v>
      </x:c>
      <x:c r="C128" s="27" t="str">
        <x:v>ko</x:v>
      </x:c>
      <x:c r="D128" s="27" t="str">
        <x:v>[02-004]_오현주(2023)_현대중국어 의례적 표현 客套语 교육 방안 연구_의례표현·교재분석.pdf</x:v>
      </x:c>
      <x:c r="E128" s="27" t="str">
        <x:v>PDF</x:v>
      </x:c>
      <x:c r="F128" s="27" t="n">
        <x:v>23</x:v>
      </x:c>
      <x:c r="G128" s="27" t="str">
        <x:v>full</x:v>
      </x:c>
      <x:c r="H128" s="27" t="str">
        <x:v>native</x:v>
      </x:c>
      <x:c r="I128" s="27" t="str">
        <x:v>오현주</x:v>
      </x:c>
      <x:c r="J128" s="27" t="str">
        <x:v>2023</x:v>
      </x:c>
      <x:c r="K128" s="27" t="str">
        <x:v>현대중국어 의례적 표현 客套语 교육 방안 연구</x:v>
      </x:c>
      <x:c r="L128" s="27" t="str">
        <x:v>의례표현·교재분석</x:v>
      </x:c>
      <x:c r="M128" s="27" t="str">
        <x:v>unverified</x:v>
      </x:c>
      <x:c r="N128" s="27" t="str">
        <x:v>M0</x:v>
      </x:c>
      <x:c r="O128" s="27" t="str"/>
      <x:c r="P128" s="27"/>
      <x:c r="Q128" s="27"/>
      <x:c r="R128" s="27"/>
      <x:c r="S128" s="27"/>
      <x:c r="T128" s="27"/>
      <x:c r="U128" s="27"/>
      <x:c r="V128" s="27" t="str">
        <x:f>IF(COUNTA(P128:U128)=0,"",SUM(P128:U128))</x:f>
      </x:c>
      <x:c r="W128" s="27" t="str">
        <x:v>02-004</x:v>
      </x:c>
      <x:c r="X128" s="27" t="str">
        <x:v>T1_candidate</x:v>
      </x:c>
      <x:c r="Y128" s="27" t="str">
        <x:v>owned</x:v>
      </x:c>
      <x:c r="Z128" s="27" t="str"/>
      <x:c r="AA128" s="27" t="str"/>
      <x:c r="AB128" s="27" t="str"/>
      <x:c r="AC128" s="27" t="str">
        <x:v>C:\PRAGMA_THESIS_LOCAL\02_문헌\학술문헌\[02-004]_오현주(2023)_현대중국어 의례적 표현 客套语 교육 방안 연구_의례표현·교재분석.pdf</x:v>
      </x:c>
      <x:c r="AD128" s="27" t="str">
        <x:v>2026-08-13T21:15:38</x:v>
      </x:c>
      <x:c r="AE128" s="28" t="n">
        <x:v>678326</x:v>
      </x:c>
      <x:c r="AF128" s="27" t="str">
        <x:v>7609c568e921b2f45c64e42187cb55d00b8e4bb32e142aede187ee23fc995a8b</x:v>
      </x:c>
      <x:c r="AG128" s="27" t="str"/>
    </x:row>
    <x:row r="129" ht="18" customHeight="1">
      <x:c r="A129" s="27" t="str">
        <x:v>LIT-20260814-128</x:v>
      </x:c>
      <x:c r="B129" s="27" t="str">
        <x:v>02-004</x:v>
      </x:c>
      <x:c r="C129" s="27" t="str">
        <x:v>ko</x:v>
      </x:c>
      <x:c r="D129" s="27" t="str">
        <x:v>[02-004]_이아형(2022)_중한순차통역에서 피드백의 학습적 효용성 연구_통역피드백·학습효과.pdf</x:v>
      </x:c>
      <x:c r="E129" s="27" t="str">
        <x:v>PDF</x:v>
      </x:c>
      <x:c r="F129" s="27" t="n">
        <x:v>22</x:v>
      </x:c>
      <x:c r="G129" s="27" t="str">
        <x:v>full</x:v>
      </x:c>
      <x:c r="H129" s="27" t="str">
        <x:v>native</x:v>
      </x:c>
      <x:c r="I129" s="27" t="str">
        <x:v>이아형</x:v>
      </x:c>
      <x:c r="J129" s="27" t="str">
        <x:v>2022</x:v>
      </x:c>
      <x:c r="K129" s="27" t="str">
        <x:v>중한순차통역에서 피드백의 학습적 효용성 연구</x:v>
      </x:c>
      <x:c r="L129" s="27" t="str">
        <x:v>통역피드백·학습효과</x:v>
      </x:c>
      <x:c r="M129" s="27" t="str">
        <x:v>unverified</x:v>
      </x:c>
      <x:c r="N129" s="27" t="str">
        <x:v>M0</x:v>
      </x:c>
      <x:c r="O129" s="27" t="str"/>
      <x:c r="P129" s="27"/>
      <x:c r="Q129" s="27"/>
      <x:c r="R129" s="27"/>
      <x:c r="S129" s="27"/>
      <x:c r="T129" s="27"/>
      <x:c r="U129" s="27"/>
      <x:c r="V129" s="27" t="str">
        <x:f>IF(COUNTA(P129:U129)=0,"",SUM(P129:U129))</x:f>
      </x:c>
      <x:c r="W129" s="27" t="str">
        <x:v>02-004</x:v>
      </x:c>
      <x:c r="X129" s="27" t="str">
        <x:v>T1_candidate</x:v>
      </x:c>
      <x:c r="Y129" s="27" t="str">
        <x:v>owned</x:v>
      </x:c>
      <x:c r="Z129" s="27" t="str"/>
      <x:c r="AA129" s="27" t="str"/>
      <x:c r="AB129" s="27" t="str"/>
      <x:c r="AC129" s="27" t="str">
        <x:v>C:\PRAGMA_THESIS_LOCAL\02_문헌\학술문헌\[02-004]_이아형(2022)_중한순차통역에서 피드백의 학습적 효용성 연구_통역피드백·학습효과.pdf</x:v>
      </x:c>
      <x:c r="AD129" s="27" t="str">
        <x:v>2026-08-13T21:00:57</x:v>
      </x:c>
      <x:c r="AE129" s="28" t="n">
        <x:v>724778</x:v>
      </x:c>
      <x:c r="AF129" s="27" t="str">
        <x:v>16699d921a9e974d158911897c0c465eb51e94890dd998571d376499cbbf49c5</x:v>
      </x:c>
      <x:c r="AG129" s="27" t="str"/>
    </x:row>
    <x:row r="130" ht="18" customHeight="1">
      <x:c r="A130" s="27" t="str">
        <x:v>LIT-20260814-129</x:v>
      </x:c>
      <x:c r="B130" s="27" t="str">
        <x:v>02-005</x:v>
      </x:c>
      <x:c r="C130" s="27" t="str">
        <x:v>en</x:v>
      </x:c>
      <x:c r="D130" s="27" t="str">
        <x:v>[02-005]_Belz(2007)_The Role of Computer Mediation in the Instruction and Development of L2 Pragmatic Competence_컴퓨터매개·화용교수.pdf</x:v>
      </x:c>
      <x:c r="E130" s="27" t="str">
        <x:v>PDF</x:v>
      </x:c>
      <x:c r="F130" s="27" t="n">
        <x:v>31</x:v>
      </x:c>
      <x:c r="G130" s="27" t="str">
        <x:v>full</x:v>
      </x:c>
      <x:c r="H130" s="27" t="str">
        <x:v>native</x:v>
      </x:c>
      <x:c r="I130" s="27" t="str">
        <x:v>Belz</x:v>
      </x:c>
      <x:c r="J130" s="27" t="str">
        <x:v>2007</x:v>
      </x:c>
      <x:c r="K130" s="27" t="str">
        <x:v>The Role of Computer Mediation in the Instruction and Development of L2 Pragmatic Competence</x:v>
      </x:c>
      <x:c r="L130" s="27" t="str">
        <x:v>컴퓨터매개·화용교수</x:v>
      </x:c>
      <x:c r="M130" s="27" t="str">
        <x:v>unverified</x:v>
      </x:c>
      <x:c r="N130" s="27" t="str">
        <x:v>M0</x:v>
      </x:c>
      <x:c r="O130" s="27" t="str"/>
      <x:c r="P130" s="27"/>
      <x:c r="Q130" s="27"/>
      <x:c r="R130" s="27"/>
      <x:c r="S130" s="27"/>
      <x:c r="T130" s="27"/>
      <x:c r="U130" s="27"/>
      <x:c r="V130" s="27" t="str">
        <x:f>IF(COUNTA(P130:U130)=0,"",SUM(P130:U130))</x:f>
      </x:c>
      <x:c r="W130" s="27" t="str">
        <x:v>02-005</x:v>
      </x:c>
      <x:c r="X130" s="27" t="str">
        <x:v>T1_candidate</x:v>
      </x:c>
      <x:c r="Y130" s="27" t="str">
        <x:v>owned</x:v>
      </x:c>
      <x:c r="Z130" s="27" t="str"/>
      <x:c r="AA130" s="27" t="str"/>
      <x:c r="AB130" s="27" t="str"/>
      <x:c r="AC130" s="27" t="str">
        <x:v>C:\PRAGMA_THESIS_LOCAL\02_문헌\학술문헌\[02-005]_Belz(2007)_The Role of Computer Mediation in the Instruction and Development of L2 Pragmatic Competence_컴퓨터매개·화용교수.pdf</x:v>
      </x:c>
      <x:c r="AD130" s="27" t="str">
        <x:v>2026-07-26T11:41:09</x:v>
      </x:c>
      <x:c r="AE130" s="28" t="n">
        <x:v>172224</x:v>
      </x:c>
      <x:c r="AF130" s="27" t="str">
        <x:v>cff78b2caf176a6e8f7cdc203b4e74a5e1681b2c0463735763099989f39d7dcc</x:v>
      </x:c>
      <x:c r="AG130" s="27" t="str"/>
    </x:row>
    <x:row r="131" ht="18" customHeight="1">
      <x:c r="A131" s="27" t="str">
        <x:v>LIT-20260814-130</x:v>
      </x:c>
      <x:c r="B131" s="27" t="str">
        <x:v>02-005</x:v>
      </x:c>
      <x:c r="C131" s="27" t="str">
        <x:v>en</x:v>
      </x:c>
      <x:c r="D131" s="27" t="str">
        <x:v>[02-005]_Chapelle(2024)_Open generative AI changes a lot but not everything_생성AI·인간교수자역할.pdf</x:v>
      </x:c>
      <x:c r="E131" s="27" t="str">
        <x:v>PDF</x:v>
      </x:c>
      <x:c r="F131" s="27" t="n">
        <x:v>7</x:v>
      </x:c>
      <x:c r="G131" s="27" t="str">
        <x:v>full</x:v>
      </x:c>
      <x:c r="H131" s="27" t="str">
        <x:v>native</x:v>
      </x:c>
      <x:c r="I131" s="27" t="str">
        <x:v>Chapelle</x:v>
      </x:c>
      <x:c r="J131" s="27" t="str">
        <x:v>2024</x:v>
      </x:c>
      <x:c r="K131" s="27" t="str">
        <x:v>Open generative AI changes a lot but not everything</x:v>
      </x:c>
      <x:c r="L131" s="27" t="str">
        <x:v>생성AI·인간교수자역할</x:v>
      </x:c>
      <x:c r="M131" s="27" t="str">
        <x:v>unverified</x:v>
      </x:c>
      <x:c r="N131" s="27" t="str">
        <x:v>M0</x:v>
      </x:c>
      <x:c r="O131" s="27" t="str"/>
      <x:c r="P131" s="27"/>
      <x:c r="Q131" s="27"/>
      <x:c r="R131" s="27"/>
      <x:c r="S131" s="27"/>
      <x:c r="T131" s="27"/>
      <x:c r="U131" s="27"/>
      <x:c r="V131" s="27" t="str">
        <x:f>IF(COUNTA(P131:U131)=0,"",SUM(P131:U131))</x:f>
      </x:c>
      <x:c r="W131" s="27" t="str">
        <x:v>02-005</x:v>
      </x:c>
      <x:c r="X131" s="27" t="str">
        <x:v>T1_candidate</x:v>
      </x:c>
      <x:c r="Y131" s="27" t="str">
        <x:v>owned</x:v>
      </x:c>
      <x:c r="Z131" s="27" t="str"/>
      <x:c r="AA131" s="27" t="str"/>
      <x:c r="AB131" s="27" t="str"/>
      <x:c r="AC131" s="27" t="str">
        <x:v>C:\PRAGMA_THESIS_LOCAL\02_문헌\학술문헌\[02-005]_Chapelle(2024)_Open generative AI changes a lot but not everything_생성AI·인간교수자역할.pdf</x:v>
      </x:c>
      <x:c r="AD131" s="27" t="str">
        <x:v>2026-07-26T11:48:08</x:v>
      </x:c>
      <x:c r="AE131" s="28" t="n">
        <x:v>132874</x:v>
      </x:c>
      <x:c r="AF131" s="27" t="str">
        <x:v>c71fd844e6a22b22fc64edf90eb6715564b541508d8a5d83f3610425fb0c6a8a</x:v>
      </x:c>
      <x:c r="AG131" s="27" t="str"/>
    </x:row>
    <x:row r="132" ht="18" customHeight="1">
      <x:c r="A132" s="27" t="str">
        <x:v>LIT-20260814-131</x:v>
      </x:c>
      <x:c r="B132" s="27" t="str">
        <x:v>02-005</x:v>
      </x:c>
      <x:c r="C132" s="27" t="str">
        <x:v>en</x:v>
      </x:c>
      <x:c r="D132" s="27" t="str">
        <x:v>[02-005]_Chen et al.(2024)_A feasibility study for the application of AI-generated conversations in pragmatic analysis_AI생성대화·화용분석.pdf</x:v>
      </x:c>
      <x:c r="E132" s="27" t="str">
        <x:v>PDF</x:v>
      </x:c>
      <x:c r="F132" s="27" t="n">
        <x:v>17</x:v>
      </x:c>
      <x:c r="G132" s="27" t="str">
        <x:v>full</x:v>
      </x:c>
      <x:c r="H132" s="27" t="str">
        <x:v>native</x:v>
      </x:c>
      <x:c r="I132" s="27" t="str">
        <x:v>Chen et al.</x:v>
      </x:c>
      <x:c r="J132" s="27" t="str">
        <x:v>2024</x:v>
      </x:c>
      <x:c r="K132" s="27" t="str">
        <x:v>A feasibility study for the application of AI-generated conversations in pragmatic analysis</x:v>
      </x:c>
      <x:c r="L132" s="27" t="str">
        <x:v>AI생성대화·화용분석</x:v>
      </x:c>
      <x:c r="M132" s="27" t="str">
        <x:v>unverified</x:v>
      </x:c>
      <x:c r="N132" s="27" t="str">
        <x:v>M0</x:v>
      </x:c>
      <x:c r="O132" s="27" t="str"/>
      <x:c r="P132" s="27"/>
      <x:c r="Q132" s="27"/>
      <x:c r="R132" s="27"/>
      <x:c r="S132" s="27"/>
      <x:c r="T132" s="27"/>
      <x:c r="U132" s="27"/>
      <x:c r="V132" s="27" t="str">
        <x:f>IF(COUNTA(P132:U132)=0,"",SUM(P132:U132))</x:f>
      </x:c>
      <x:c r="W132" s="27" t="str">
        <x:v>02-005</x:v>
      </x:c>
      <x:c r="X132" s="27" t="str">
        <x:v>T1_candidate</x:v>
      </x:c>
      <x:c r="Y132" s="27" t="str">
        <x:v>owned</x:v>
      </x:c>
      <x:c r="Z132" s="27" t="str"/>
      <x:c r="AA132" s="27" t="str"/>
      <x:c r="AB132" s="27" t="str"/>
      <x:c r="AC132" s="27" t="str">
        <x:v>C:\PRAGMA_THESIS_LOCAL\02_문헌\학술문헌\[02-005]_Chen et al.(2024)_A feasibility study for the application of AI-generated conversations in pragmatic analysis_AI생성대화·화용분석.pdf</x:v>
      </x:c>
      <x:c r="AD132" s="27" t="str">
        <x:v>2026-07-26T13:01:59</x:v>
      </x:c>
      <x:c r="AE132" s="28" t="n">
        <x:v>938745</x:v>
      </x:c>
      <x:c r="AF132" s="27" t="str">
        <x:v>d0743ba2bb05079280026df5b4b580ce072f28c8f352014de1bdf7832e616a04</x:v>
      </x:c>
      <x:c r="AG132" s="27" t="str"/>
    </x:row>
    <x:row r="133" ht="18" customHeight="1">
      <x:c r="A133" s="27" t="str">
        <x:v>LIT-20260814-132</x:v>
      </x:c>
      <x:c r="B133" s="27" t="str">
        <x:v>02-005</x:v>
      </x:c>
      <x:c r="C133" s="27" t="str">
        <x:v>en</x:v>
      </x:c>
      <x:c r="D133" s="27" t="str">
        <x:v>[02-005]_Dai et al.(2025)_Generative AI for professional communication training in intercultural contexts_생성AI·전문의사소통훈련.pdf</x:v>
      </x:c>
      <x:c r="E133" s="27" t="str">
        <x:v>PDF</x:v>
      </x:c>
      <x:c r="F133" s="27" t="n">
        <x:v>12</x:v>
      </x:c>
      <x:c r="G133" s="27" t="str">
        <x:v>full</x:v>
      </x:c>
      <x:c r="H133" s="27" t="str">
        <x:v>native</x:v>
      </x:c>
      <x:c r="I133" s="27" t="str">
        <x:v>Dai et al.</x:v>
      </x:c>
      <x:c r="J133" s="27" t="str">
        <x:v>2025</x:v>
      </x:c>
      <x:c r="K133" s="27" t="str">
        <x:v>Generative AI for professional communication training in intercultural contexts</x:v>
      </x:c>
      <x:c r="L133" s="27" t="str">
        <x:v>생성AI·전문의사소통훈련</x:v>
      </x:c>
      <x:c r="M133" s="27" t="str">
        <x:v>unverified</x:v>
      </x:c>
      <x:c r="N133" s="27" t="str">
        <x:v>M0</x:v>
      </x:c>
      <x:c r="O133" s="27" t="str"/>
      <x:c r="P133" s="27"/>
      <x:c r="Q133" s="27"/>
      <x:c r="R133" s="27"/>
      <x:c r="S133" s="27"/>
      <x:c r="T133" s="27"/>
      <x:c r="U133" s="27"/>
      <x:c r="V133" s="27" t="str">
        <x:f>IF(COUNTA(P133:U133)=0,"",SUM(P133:U133))</x:f>
      </x:c>
      <x:c r="W133" s="27" t="str">
        <x:v>02-005</x:v>
      </x:c>
      <x:c r="X133" s="27" t="str">
        <x:v>T1_candidate</x:v>
      </x:c>
      <x:c r="Y133" s="27" t="str">
        <x:v>owned</x:v>
      </x:c>
      <x:c r="Z133" s="27" t="str"/>
      <x:c r="AA133" s="27" t="str"/>
      <x:c r="AB133" s="27" t="str"/>
      <x:c r="AC133" s="27" t="str">
        <x:v>C:\PRAGMA_THESIS_LOCAL\02_문헌\학술문헌\[02-005]_Dai et al.(2025)_Generative AI for professional communication training in intercultural contexts_생성AI·전문의사소통훈련.pdf</x:v>
      </x:c>
      <x:c r="AD133" s="27" t="str">
        <x:v>2026-07-21T11:11:05</x:v>
      </x:c>
      <x:c r="AE133" s="28" t="n">
        <x:v>487959</x:v>
      </x:c>
      <x:c r="AF133" s="27" t="str">
        <x:v>e835f52d08bc533e7543610d91c01ebfc438e32d18fd4d7263aa897a6290b49d</x:v>
      </x:c>
      <x:c r="AG133" s="27" t="str"/>
    </x:row>
    <x:row r="134" ht="18" customHeight="1">
      <x:c r="A134" s="27" t="str">
        <x:v>LIT-20260814-133</x:v>
      </x:c>
      <x:c r="B134" s="27" t="str">
        <x:v>02-005</x:v>
      </x:c>
      <x:c r="C134" s="27" t="str">
        <x:v>en</x:v>
      </x:c>
      <x:c r="D134" s="27" t="str">
        <x:v>[02-005]_Economidou-Kogetsidis &amp; Lai(2026)_From human to GenAI evaluations ChatGPT's and lecturers' perceptions of email impoliteness_AI검토근거·공손평가.pdf</x:v>
      </x:c>
      <x:c r="E134" s="27" t="str">
        <x:v>PDF</x:v>
      </x:c>
      <x:c r="F134" s="27" t="n">
        <x:v>19</x:v>
      </x:c>
      <x:c r="G134" s="27" t="str">
        <x:v>full</x:v>
      </x:c>
      <x:c r="H134" s="27" t="str">
        <x:v>native</x:v>
      </x:c>
      <x:c r="I134" s="27" t="str">
        <x:v>Economidou-Kogetsidis &amp; Lai</x:v>
      </x:c>
      <x:c r="J134" s="27" t="str">
        <x:v>2026</x:v>
      </x:c>
      <x:c r="K134" s="27" t="str">
        <x:v>From human to GenAI evaluations ChatGPT's and lecturers' perceptions of email impoliteness</x:v>
      </x:c>
      <x:c r="L134" s="27" t="str">
        <x:v>AI검토근거·공손평가</x:v>
      </x:c>
      <x:c r="M134" s="27" t="str">
        <x:v>unverified</x:v>
      </x:c>
      <x:c r="N134" s="27" t="str">
        <x:v>M0</x:v>
      </x:c>
      <x:c r="O134" s="27" t="str"/>
      <x:c r="P134" s="27"/>
      <x:c r="Q134" s="27"/>
      <x:c r="R134" s="27"/>
      <x:c r="S134" s="27"/>
      <x:c r="T134" s="27"/>
      <x:c r="U134" s="27"/>
      <x:c r="V134" s="27" t="str">
        <x:f>IF(COUNTA(P134:U134)=0,"",SUM(P134:U134))</x:f>
      </x:c>
      <x:c r="W134" s="27" t="str">
        <x:v>02-005</x:v>
      </x:c>
      <x:c r="X134" s="27" t="str">
        <x:v>T1_candidate</x:v>
      </x:c>
      <x:c r="Y134" s="27" t="str">
        <x:v>owned</x:v>
      </x:c>
      <x:c r="Z134" s="27" t="str"/>
      <x:c r="AA134" s="27" t="str"/>
      <x:c r="AB134" s="27" t="str"/>
      <x:c r="AC134" s="27" t="str">
        <x:v>C:\PRAGMA_THESIS_LOCAL\02_문헌\학술문헌\[02-005]_Economidou-Kogetsidis &amp; Lai(2026)_From human to GenAI evaluations ChatGPT's and lecturers' perceptions of email impoliteness_AI검토근거·공손평가.pdf</x:v>
      </x:c>
      <x:c r="AD134" s="27" t="str">
        <x:v>2026-08-11T15:20:40</x:v>
      </x:c>
      <x:c r="AE134" s="28" t="n">
        <x:v>1509496</x:v>
      </x:c>
      <x:c r="AF134" s="27" t="str">
        <x:v>7ac33854ea834ebdbf8d759293d4277b1fffc9801367890f15b42d568e01da07</x:v>
      </x:c>
      <x:c r="AG134" s="27" t="str"/>
    </x:row>
    <x:row r="135" ht="18" customHeight="1">
      <x:c r="A135" s="27" t="str">
        <x:v>LIT-20260814-134</x:v>
      </x:c>
      <x:c r="B135" s="27" t="str">
        <x:v>02-005</x:v>
      </x:c>
      <x:c r="C135" s="27" t="str">
        <x:v>en</x:v>
      </x:c>
      <x:c r="D135" s="27" t="str">
        <x:v>[02-005]_Liu et al.(2022)_Pre-train Prompt and Predict A Systematic Survey of Prompting Methods in NLP_프롬프트방법론·서베이.pdf</x:v>
      </x:c>
      <x:c r="E135" s="27" t="str">
        <x:v>PDF</x:v>
      </x:c>
      <x:c r="F135" s="27" t="n">
        <x:v>46</x:v>
      </x:c>
      <x:c r="G135" s="27" t="str">
        <x:v>full</x:v>
      </x:c>
      <x:c r="H135" s="27" t="str">
        <x:v>native</x:v>
      </x:c>
      <x:c r="I135" s="27" t="str">
        <x:v>Liu et al.</x:v>
      </x:c>
      <x:c r="J135" s="27" t="str">
        <x:v>2022</x:v>
      </x:c>
      <x:c r="K135" s="27" t="str">
        <x:v>Pre-train Prompt and Predict A Systematic Survey of Prompting Methods in NLP</x:v>
      </x:c>
      <x:c r="L135" s="27" t="str">
        <x:v>프롬프트방법론·서베이</x:v>
      </x:c>
      <x:c r="M135" s="27" t="str">
        <x:v>unverified</x:v>
      </x:c>
      <x:c r="N135" s="27" t="str">
        <x:v>M0</x:v>
      </x:c>
      <x:c r="O135" s="27" t="str"/>
      <x:c r="P135" s="27"/>
      <x:c r="Q135" s="27"/>
      <x:c r="R135" s="27"/>
      <x:c r="S135" s="27"/>
      <x:c r="T135" s="27"/>
      <x:c r="U135" s="27"/>
      <x:c r="V135" s="27" t="str">
        <x:f>IF(COUNTA(P135:U135)=0,"",SUM(P135:U135))</x:f>
      </x:c>
      <x:c r="W135" s="27" t="str">
        <x:v>02-005</x:v>
      </x:c>
      <x:c r="X135" s="27" t="str">
        <x:v>T1_candidate</x:v>
      </x:c>
      <x:c r="Y135" s="27" t="str">
        <x:v>owned</x:v>
      </x:c>
      <x:c r="Z135" s="27" t="str"/>
      <x:c r="AA135" s="27" t="str"/>
      <x:c r="AB135" s="27" t="str"/>
      <x:c r="AC135" s="27" t="str">
        <x:v>C:\PRAGMA_THESIS_LOCAL\02_문헌\학술문헌\[02-005]_Liu et al.(2022)_Pre-train Prompt and Predict A Systematic Survey of Prompting Methods in NLP_프롬프트방법론·서베이.pdf</x:v>
      </x:c>
      <x:c r="AD135" s="27" t="str">
        <x:v>2026-08-06T15:50:20</x:v>
      </x:c>
      <x:c r="AE135" s="28" t="n">
        <x:v>12329905</x:v>
      </x:c>
      <x:c r="AF135" s="27" t="str">
        <x:v>be4e306377703c5bc9bc6f7b4ef95a842fe8a767f37778284bb54f2865301f3b</x:v>
      </x:c>
      <x:c r="AG135" s="27" t="str"/>
    </x:row>
    <x:row r="136" ht="18" customHeight="1">
      <x:c r="A136" s="27" t="str">
        <x:v>LIT-20260814-135</x:v>
      </x:c>
      <x:c r="B136" s="27" t="str">
        <x:v>02-005</x:v>
      </x:c>
      <x:c r="C136" s="27" t="str">
        <x:v>en</x:v>
      </x:c>
      <x:c r="D136" s="27" t="str">
        <x:v>[02-005]_Liu et al.(2024)_We Need Structured Output Towards User-centered Constraints on LLM Output_구조화출력·제약설계.pdf</x:v>
      </x:c>
      <x:c r="E136" s="27" t="str">
        <x:v>PDF</x:v>
      </x:c>
      <x:c r="F136" s="27" t="n">
        <x:v>9</x:v>
      </x:c>
      <x:c r="G136" s="27" t="str">
        <x:v>full</x:v>
      </x:c>
      <x:c r="H136" s="27" t="str">
        <x:v>native</x:v>
      </x:c>
      <x:c r="I136" s="27" t="str">
        <x:v>Liu et al.</x:v>
      </x:c>
      <x:c r="J136" s="27" t="str">
        <x:v>2024</x:v>
      </x:c>
      <x:c r="K136" s="27" t="str">
        <x:v>We Need Structured Output Towards User-centered Constraints on LLM Output</x:v>
      </x:c>
      <x:c r="L136" s="27" t="str">
        <x:v>구조화출력·제약설계</x:v>
      </x:c>
      <x:c r="M136" s="27" t="str">
        <x:v>unverified</x:v>
      </x:c>
      <x:c r="N136" s="27" t="str">
        <x:v>M0</x:v>
      </x:c>
      <x:c r="O136" s="27" t="str"/>
      <x:c r="P136" s="27"/>
      <x:c r="Q136" s="27"/>
      <x:c r="R136" s="27"/>
      <x:c r="S136" s="27"/>
      <x:c r="T136" s="27"/>
      <x:c r="U136" s="27"/>
      <x:c r="V136" s="27" t="str">
        <x:f>IF(COUNTA(P136:U136)=0,"",SUM(P136:U136))</x:f>
      </x:c>
      <x:c r="W136" s="27" t="str">
        <x:v>02-005</x:v>
      </x:c>
      <x:c r="X136" s="27" t="str">
        <x:v>T1_candidate</x:v>
      </x:c>
      <x:c r="Y136" s="27" t="str">
        <x:v>owned</x:v>
      </x:c>
      <x:c r="Z136" s="27" t="str"/>
      <x:c r="AA136" s="27" t="str"/>
      <x:c r="AB136" s="27" t="str"/>
      <x:c r="AC136" s="27" t="str">
        <x:v>C:\PRAGMA_THESIS_LOCAL\02_문헌\학술문헌\[02-005]_Liu et al.(2024)_We Need Structured Output Towards User-centered Constraints on LLM Output_구조화출력·제약설계.pdf</x:v>
      </x:c>
      <x:c r="AD136" s="27" t="str">
        <x:v>2026-08-06T15:50:21</x:v>
      </x:c>
      <x:c r="AE136" s="28" t="n">
        <x:v>1058470</x:v>
      </x:c>
      <x:c r="AF136" s="27" t="str">
        <x:v>be901442754998e3f606137482ef6a4978a2292154dd9483d087cf85e693d228</x:v>
      </x:c>
      <x:c r="AG136" s="27" t="str"/>
    </x:row>
    <x:row r="137" ht="18" customHeight="1">
      <x:c r="A137" s="27" t="str">
        <x:v>LIT-20260814-136</x:v>
      </x:c>
      <x:c r="B137" s="27" t="str">
        <x:v>02-005</x:v>
      </x:c>
      <x:c r="C137" s="27" t="str">
        <x:v>en</x:v>
      </x:c>
      <x:c r="D137" s="27" t="str">
        <x:v>[02-005]_Lou et al.(2026)_번역 훈련에서 AI 피드백의 수용과 판단_AI검토·사람판정.pdf</x:v>
      </x:c>
      <x:c r="E137" s="27" t="str">
        <x:v>PDF</x:v>
      </x:c>
      <x:c r="F137" s="27" t="n">
        <x:v>20</x:v>
      </x:c>
      <x:c r="G137" s="27" t="str">
        <x:v>full</x:v>
      </x:c>
      <x:c r="H137" s="27" t="str">
        <x:v>native</x:v>
      </x:c>
      <x:c r="I137" s="27" t="str">
        <x:v>Lou et al.</x:v>
      </x:c>
      <x:c r="J137" s="27" t="str">
        <x:v>2026</x:v>
      </x:c>
      <x:c r="K137" s="27" t="str">
        <x:v>번역 훈련에서 AI 피드백의 수용과 판단</x:v>
      </x:c>
      <x:c r="L137" s="27" t="str">
        <x:v>AI검토·사람판정</x:v>
      </x:c>
      <x:c r="M137" s="27" t="str">
        <x:v>unverified</x:v>
      </x:c>
      <x:c r="N137" s="27" t="str">
        <x:v>M0</x:v>
      </x:c>
      <x:c r="O137" s="27" t="str"/>
      <x:c r="P137" s="27"/>
      <x:c r="Q137" s="27"/>
      <x:c r="R137" s="27"/>
      <x:c r="S137" s="27"/>
      <x:c r="T137" s="27"/>
      <x:c r="U137" s="27"/>
      <x:c r="V137" s="27" t="str">
        <x:f>IF(COUNTA(P137:U137)=0,"",SUM(P137:U137))</x:f>
      </x:c>
      <x:c r="W137" s="27" t="str">
        <x:v>02-005</x:v>
      </x:c>
      <x:c r="X137" s="27" t="str">
        <x:v>T1_candidate</x:v>
      </x:c>
      <x:c r="Y137" s="27" t="str">
        <x:v>owned</x:v>
      </x:c>
      <x:c r="Z137" s="27" t="str"/>
      <x:c r="AA137" s="27" t="str"/>
      <x:c r="AB137" s="27" t="str"/>
      <x:c r="AC137" s="27" t="str">
        <x:v>C:\PRAGMA_THESIS_LOCAL\02_문헌\학술문헌\[02-005]_Lou et al.(2026)_번역 훈련에서 AI 피드백의 수용과 판단_AI검토·사람판정.pdf</x:v>
      </x:c>
      <x:c r="AD137" s="27" t="str">
        <x:v>2026-06-20T11:18:34</x:v>
      </x:c>
      <x:c r="AE137" s="28" t="n">
        <x:v>1941064</x:v>
      </x:c>
      <x:c r="AF137" s="27" t="str">
        <x:v>5d14ad58b497585cf36775ed695520de5ace09efeeafa0c94983be7cae5fbe9f</x:v>
      </x:c>
      <x:c r="AG137" s="27" t="str"/>
    </x:row>
    <x:row r="138" ht="18" customHeight="1">
      <x:c r="A138" s="27" t="str">
        <x:v>LIT-20260814-137</x:v>
      </x:c>
      <x:c r="B138" s="27" t="str">
        <x:v>02-005</x:v>
      </x:c>
      <x:c r="C138" s="27" t="str">
        <x:v>en</x:v>
      </x:c>
      <x:c r="D138" s="27" t="str">
        <x:v>[02-005]_Sarsa et al.(2022)_Automatic Generation of Programming Exercises and Code Explanations Using LLMs_자동문항생성·품질관리.pdf</x:v>
      </x:c>
      <x:c r="E138" s="27" t="str">
        <x:v>PDF</x:v>
      </x:c>
      <x:c r="F138" s="27" t="n">
        <x:v>17</x:v>
      </x:c>
      <x:c r="G138" s="27" t="str">
        <x:v>full</x:v>
      </x:c>
      <x:c r="H138" s="27" t="str">
        <x:v>native</x:v>
      </x:c>
      <x:c r="I138" s="27" t="str">
        <x:v>Sarsa et al.</x:v>
      </x:c>
      <x:c r="J138" s="27" t="str">
        <x:v>2022</x:v>
      </x:c>
      <x:c r="K138" s="27" t="str">
        <x:v>Automatic Generation of Programming Exercises and Code Explanations Using LLMs</x:v>
      </x:c>
      <x:c r="L138" s="27" t="str">
        <x:v>자동문항생성·품질관리</x:v>
      </x:c>
      <x:c r="M138" s="27" t="str">
        <x:v>unverified</x:v>
      </x:c>
      <x:c r="N138" s="27" t="str">
        <x:v>M0</x:v>
      </x:c>
      <x:c r="O138" s="27" t="str"/>
      <x:c r="P138" s="27"/>
      <x:c r="Q138" s="27"/>
      <x:c r="R138" s="27"/>
      <x:c r="S138" s="27"/>
      <x:c r="T138" s="27"/>
      <x:c r="U138" s="27"/>
      <x:c r="V138" s="27" t="str">
        <x:f>IF(COUNTA(P138:U138)=0,"",SUM(P138:U138))</x:f>
      </x:c>
      <x:c r="W138" s="27" t="str">
        <x:v>02-005</x:v>
      </x:c>
      <x:c r="X138" s="27" t="str">
        <x:v>T1_candidate</x:v>
      </x:c>
      <x:c r="Y138" s="27" t="str">
        <x:v>owned</x:v>
      </x:c>
      <x:c r="Z138" s="27" t="str"/>
      <x:c r="AA138" s="27" t="str"/>
      <x:c r="AB138" s="27" t="str"/>
      <x:c r="AC138" s="27" t="str">
        <x:v>C:\PRAGMA_THESIS_LOCAL\02_문헌\학술문헌\[02-005]_Sarsa et al.(2022)_Automatic Generation of Programming Exercises and Code Explanations Using LLMs_자동문항생성·품질관리.pdf</x:v>
      </x:c>
      <x:c r="AD138" s="27" t="str">
        <x:v>2026-07-26T11:38:54</x:v>
      </x:c>
      <x:c r="AE138" s="28" t="n">
        <x:v>746863</x:v>
      </x:c>
      <x:c r="AF138" s="27" t="str">
        <x:v>3678f01526a00e290b2dd5536a859510b75a3ffb032cfaf11b903d23126a7e7d</x:v>
      </x:c>
      <x:c r="AG138" s="27" t="str"/>
    </x:row>
    <x:row r="139" ht="18" customHeight="1">
      <x:c r="A139" s="27" t="str">
        <x:v>LIT-20260814-138</x:v>
      </x:c>
      <x:c r="B139" s="27" t="str">
        <x:v>02-005</x:v>
      </x:c>
      <x:c r="C139" s="27" t="str">
        <x:v>en</x:v>
      </x:c>
      <x:c r="D139" s="27" t="str">
        <x:v>[02-005]_Shin &amp; Lee(2023)_Can ChatGPT make reading comprehension testing items on par with human experts_문항생성·전문가대조.pdf</x:v>
      </x:c>
      <x:c r="E139" s="27" t="str">
        <x:v>PDF</x:v>
      </x:c>
      <x:c r="F139" s="27" t="n">
        <x:v>14</x:v>
      </x:c>
      <x:c r="G139" s="27" t="str">
        <x:v>full</x:v>
      </x:c>
      <x:c r="H139" s="27" t="str">
        <x:v>native</x:v>
      </x:c>
      <x:c r="I139" s="27" t="str">
        <x:v>Shin &amp; Lee</x:v>
      </x:c>
      <x:c r="J139" s="27" t="str">
        <x:v>2023</x:v>
      </x:c>
      <x:c r="K139" s="27" t="str">
        <x:v>Can ChatGPT make reading comprehension testing items on par with human experts</x:v>
      </x:c>
      <x:c r="L139" s="27" t="str">
        <x:v>문항생성·전문가대조</x:v>
      </x:c>
      <x:c r="M139" s="27" t="str">
        <x:v>unverified</x:v>
      </x:c>
      <x:c r="N139" s="27" t="str">
        <x:v>M0</x:v>
      </x:c>
      <x:c r="O139" s="27" t="str"/>
      <x:c r="P139" s="27"/>
      <x:c r="Q139" s="27"/>
      <x:c r="R139" s="27"/>
      <x:c r="S139" s="27"/>
      <x:c r="T139" s="27"/>
      <x:c r="U139" s="27"/>
      <x:c r="V139" s="27" t="str">
        <x:f>IF(COUNTA(P139:U139)=0,"",SUM(P139:U139))</x:f>
      </x:c>
      <x:c r="W139" s="27" t="str">
        <x:v>02-005</x:v>
      </x:c>
      <x:c r="X139" s="27" t="str">
        <x:v>T1_candidate</x:v>
      </x:c>
      <x:c r="Y139" s="27" t="str">
        <x:v>owned</x:v>
      </x:c>
      <x:c r="Z139" s="27" t="str"/>
      <x:c r="AA139" s="27" t="str"/>
      <x:c r="AB139" s="27" t="str"/>
      <x:c r="AC139" s="27" t="str">
        <x:v>C:\PRAGMA_THESIS_LOCAL\02_문헌\학술문헌\[02-005]_Shin &amp; Lee(2023)_Can ChatGPT make reading comprehension testing items on par with human experts_문항생성·전문가대조.pdf</x:v>
      </x:c>
      <x:c r="AD139" s="27" t="str">
        <x:v>2026-07-26T11:34:53</x:v>
      </x:c>
      <x:c r="AE139" s="28" t="n">
        <x:v>388776</x:v>
      </x:c>
      <x:c r="AF139" s="27" t="str">
        <x:v>5ff5635b1165b835f1d0c487bccd607ea7fb6154a5c013dc70b1b96da95c0a93</x:v>
      </x:c>
      <x:c r="AG139" s="27" t="str"/>
    </x:row>
    <x:row r="140" ht="18" customHeight="1">
      <x:c r="A140" s="27" t="str">
        <x:v>LIT-20260814-139</x:v>
      </x:c>
      <x:c r="B140" s="27" t="str">
        <x:v>02-005</x:v>
      </x:c>
      <x:c r="C140" s="27" t="str">
        <x:v>en</x:v>
      </x:c>
      <x:c r="D140" s="27" t="str">
        <x:v>[02-005]_Yan et al.(2024)_Practical and ethical challenges of large language models in education_품질관리·윤리과제.pdf</x:v>
      </x:c>
      <x:c r="E140" s="27" t="str">
        <x:v>PDF</x:v>
      </x:c>
      <x:c r="F140" s="27" t="n">
        <x:v>23</x:v>
      </x:c>
      <x:c r="G140" s="27" t="str">
        <x:v>full</x:v>
      </x:c>
      <x:c r="H140" s="27" t="str">
        <x:v>native</x:v>
      </x:c>
      <x:c r="I140" s="27" t="str">
        <x:v>Yan et al.</x:v>
      </x:c>
      <x:c r="J140" s="27" t="str">
        <x:v>2024</x:v>
      </x:c>
      <x:c r="K140" s="27" t="str">
        <x:v>Practical and ethical challenges of large language models in education</x:v>
      </x:c>
      <x:c r="L140" s="27" t="str">
        <x:v>품질관리·윤리과제</x:v>
      </x:c>
      <x:c r="M140" s="27" t="str">
        <x:v>unverified</x:v>
      </x:c>
      <x:c r="N140" s="27" t="str">
        <x:v>M0</x:v>
      </x:c>
      <x:c r="O140" s="27" t="str"/>
      <x:c r="P140" s="27"/>
      <x:c r="Q140" s="27"/>
      <x:c r="R140" s="27"/>
      <x:c r="S140" s="27"/>
      <x:c r="T140" s="27"/>
      <x:c r="U140" s="27"/>
      <x:c r="V140" s="27" t="str">
        <x:f>IF(COUNTA(P140:U140)=0,"",SUM(P140:U140))</x:f>
      </x:c>
      <x:c r="W140" s="27" t="str">
        <x:v>02-005</x:v>
      </x:c>
      <x:c r="X140" s="27" t="str">
        <x:v>T1_candidate</x:v>
      </x:c>
      <x:c r="Y140" s="27" t="str">
        <x:v>owned</x:v>
      </x:c>
      <x:c r="Z140" s="27" t="str"/>
      <x:c r="AA140" s="27" t="str"/>
      <x:c r="AB140" s="27" t="str"/>
      <x:c r="AC140" s="27" t="str">
        <x:v>C:\PRAGMA_THESIS_LOCAL\02_문헌\학술문헌\[02-005]_Yan et al.(2024)_Practical and ethical challenges of large language models in education_품질관리·윤리과제.pdf</x:v>
      </x:c>
      <x:c r="AD140" s="27" t="str">
        <x:v>2026-07-26T11:37:24</x:v>
      </x:c>
      <x:c r="AE140" s="28" t="n">
        <x:v>1917403</x:v>
      </x:c>
      <x:c r="AF140" s="27" t="str">
        <x:v>950e6dbecdb007046b35e2afb51cfbef766c1eb6fd6f6640580af4fcb98badf9</x:v>
      </x:c>
      <x:c r="AG140" s="27" t="str"/>
    </x:row>
    <x:row r="141" ht="18" customHeight="1">
      <x:c r="A141" s="27" t="str">
        <x:v>LIT-20260814-140</x:v>
      </x:c>
      <x:c r="B141" s="27" t="str">
        <x:v>02-005</x:v>
      </x:c>
      <x:c r="C141" s="27" t="str">
        <x:v>en</x:v>
      </x:c>
      <x:c r="D141" s="27" t="str">
        <x:v>[02-005]_Zheng et al.(2023)_Judging LLM-as-a-Judge with MT-Bench and Chatbot Arena_LLM판정·자기평가편향.pdf</x:v>
      </x:c>
      <x:c r="E141" s="27" t="str">
        <x:v>PDF</x:v>
      </x:c>
      <x:c r="F141" s="27" t="n">
        <x:v>29</x:v>
      </x:c>
      <x:c r="G141" s="27" t="str">
        <x:v>full</x:v>
      </x:c>
      <x:c r="H141" s="27" t="str">
        <x:v>native</x:v>
      </x:c>
      <x:c r="I141" s="27" t="str">
        <x:v>Zheng et al.</x:v>
      </x:c>
      <x:c r="J141" s="27" t="str">
        <x:v>2023</x:v>
      </x:c>
      <x:c r="K141" s="27" t="str">
        <x:v>Judging LLM-as-a-Judge with MT-Bench and Chatbot Arena</x:v>
      </x:c>
      <x:c r="L141" s="27" t="str">
        <x:v>LLM판정·자기평가편향</x:v>
      </x:c>
      <x:c r="M141" s="27" t="str">
        <x:v>unverified</x:v>
      </x:c>
      <x:c r="N141" s="27" t="str">
        <x:v>M0</x:v>
      </x:c>
      <x:c r="O141" s="27" t="str"/>
      <x:c r="P141" s="27"/>
      <x:c r="Q141" s="27"/>
      <x:c r="R141" s="27"/>
      <x:c r="S141" s="27"/>
      <x:c r="T141" s="27"/>
      <x:c r="U141" s="27"/>
      <x:c r="V141" s="27" t="str">
        <x:f>IF(COUNTA(P141:U141)=0,"",SUM(P141:U141))</x:f>
      </x:c>
      <x:c r="W141" s="27" t="str">
        <x:v>02-005</x:v>
      </x:c>
      <x:c r="X141" s="27" t="str">
        <x:v>T1_candidate</x:v>
      </x:c>
      <x:c r="Y141" s="27" t="str">
        <x:v>owned</x:v>
      </x:c>
      <x:c r="Z141" s="27" t="str"/>
      <x:c r="AA141" s="27" t="str"/>
      <x:c r="AB141" s="27" t="str"/>
      <x:c r="AC141" s="27" t="str">
        <x:v>C:\PRAGMA_THESIS_LOCAL\02_문헌\학술문헌\[02-005]_Zheng et al.(2023)_Judging LLM-as-a-Judge with MT-Bench and Chatbot Arena_LLM판정·자기평가편향.pdf</x:v>
      </x:c>
      <x:c r="AD141" s="27" t="str">
        <x:v>2026-08-06T15:49:21</x:v>
      </x:c>
      <x:c r="AE141" s="28" t="n">
        <x:v>1580141</x:v>
      </x:c>
      <x:c r="AF141" s="27" t="str">
        <x:v>1574982845157569b85c1214bfa9987000384d7a5e3b5fbdcc5a29afec59cb81</x:v>
      </x:c>
      <x:c r="AG141" s="27" t="str"/>
    </x:row>
    <x:row r="142" ht="18" customHeight="1">
      <x:c r="A142" s="27" t="str">
        <x:v>LIT-20260814-141</x:v>
      </x:c>
      <x:c r="B142" s="27" t="str">
        <x:v>02-005</x:v>
      </x:c>
      <x:c r="C142" s="27" t="str">
        <x:v>zh</x:v>
      </x:c>
      <x:c r="D142" s="27" t="str">
        <x:v>[02-005]_周顾盈 等(n.d.)_数智驱动言语行为研究前沿趋势_화행자동인식·코퍼스.pdf</x:v>
      </x:c>
      <x:c r="E142" s="27" t="str">
        <x:v>PDF</x:v>
      </x:c>
      <x:c r="F142" s="27" t="n">
        <x:v>10</x:v>
      </x:c>
      <x:c r="G142" s="27" t="str">
        <x:v>full</x:v>
      </x:c>
      <x:c r="H142" s="27" t="str">
        <x:v>native</x:v>
      </x:c>
      <x:c r="I142" s="27" t="str">
        <x:v>周顾盈 等</x:v>
      </x:c>
      <x:c r="J142" s="27" t="str">
        <x:v>n.d.</x:v>
      </x:c>
      <x:c r="K142" s="27" t="str">
        <x:v>数智驱动言语行为研究前沿趋势</x:v>
      </x:c>
      <x:c r="L142" s="27" t="str">
        <x:v>화행자동인식·코퍼스</x:v>
      </x:c>
      <x:c r="M142" s="27" t="str">
        <x:v>unverified</x:v>
      </x:c>
      <x:c r="N142" s="27" t="str">
        <x:v>M0</x:v>
      </x:c>
      <x:c r="O142" s="27" t="str"/>
      <x:c r="P142" s="27"/>
      <x:c r="Q142" s="27"/>
      <x:c r="R142" s="27"/>
      <x:c r="S142" s="27"/>
      <x:c r="T142" s="27"/>
      <x:c r="U142" s="27"/>
      <x:c r="V142" s="27" t="str">
        <x:f>IF(COUNTA(P142:U142)=0,"",SUM(P142:U142))</x:f>
      </x:c>
      <x:c r="W142" s="27" t="str">
        <x:v>02-005</x:v>
      </x:c>
      <x:c r="X142" s="27" t="str">
        <x:v>T1_candidate</x:v>
      </x:c>
      <x:c r="Y142" s="27" t="str">
        <x:v>owned</x:v>
      </x:c>
      <x:c r="Z142" s="27" t="str">
        <x:v>year_unverified</x:v>
      </x:c>
      <x:c r="AA142" s="27" t="str"/>
      <x:c r="AB142" s="27" t="str"/>
      <x:c r="AC142" s="27" t="str">
        <x:v>C:\PRAGMA_THESIS_LOCAL\02_문헌\학술문헌\[02-005]_周顾盈 等(n.d.)_数智驱动言语行为研究前沿趋势_화행자동인식·코퍼스.pdf</x:v>
      </x:c>
      <x:c r="AD142" s="27" t="str">
        <x:v>2026-08-14T11:21:38</x:v>
      </x:c>
      <x:c r="AE142" s="28" t="n">
        <x:v>940362</x:v>
      </x:c>
      <x:c r="AF142" s="27" t="str">
        <x:v>c52d011b06490403390c290bd0a5b60f285d2f39c3e384789acb58216396eb26</x:v>
      </x:c>
      <x:c r="AG142" s="27" t="str"/>
    </x:row>
    <x:row r="143" ht="18" customHeight="1">
      <x:c r="A143" s="27" t="str">
        <x:v>LIT-20260814-142</x:v>
      </x:c>
      <x:c r="B143" s="27" t="str">
        <x:v>02-005</x:v>
      </x:c>
      <x:c r="C143" s="27" t="str">
        <x:v>ko</x:v>
      </x:c>
      <x:c r="D143" s="27" t="str">
        <x:v>[02-005]_崔나리(2025)_생성형 AI 기반 일본어 예문 생성의 품질 검토 제약 수준별 프롬프트_프롬프트제약·생성품질.pdf</x:v>
      </x:c>
      <x:c r="E143" s="27" t="str">
        <x:v>PDF</x:v>
      </x:c>
      <x:c r="F143" s="27" t="n">
        <x:v>18</x:v>
      </x:c>
      <x:c r="G143" s="27" t="str">
        <x:v>full</x:v>
      </x:c>
      <x:c r="H143" s="27" t="str">
        <x:v>native</x:v>
      </x:c>
      <x:c r="I143" s="27" t="str">
        <x:v>崔나리</x:v>
      </x:c>
      <x:c r="J143" s="27" t="str">
        <x:v>2025</x:v>
      </x:c>
      <x:c r="K143" s="27" t="str">
        <x:v>생성형 AI 기반 일본어 예문 생성의 품질 검토 제약 수준별 프롬프트</x:v>
      </x:c>
      <x:c r="L143" s="27" t="str">
        <x:v>프롬프트제약·생성품질</x:v>
      </x:c>
      <x:c r="M143" s="27" t="str">
        <x:v>unverified</x:v>
      </x:c>
      <x:c r="N143" s="27" t="str">
        <x:v>M0</x:v>
      </x:c>
      <x:c r="O143" s="27" t="str"/>
      <x:c r="P143" s="27"/>
      <x:c r="Q143" s="27"/>
      <x:c r="R143" s="27"/>
      <x:c r="S143" s="27"/>
      <x:c r="T143" s="27"/>
      <x:c r="U143" s="27"/>
      <x:c r="V143" s="27" t="str">
        <x:f>IF(COUNTA(P143:U143)=0,"",SUM(P143:U143))</x:f>
      </x:c>
      <x:c r="W143" s="27" t="str">
        <x:v>02-005</x:v>
      </x:c>
      <x:c r="X143" s="27" t="str">
        <x:v>T1_candidate</x:v>
      </x:c>
      <x:c r="Y143" s="27" t="str">
        <x:v>owned</x:v>
      </x:c>
      <x:c r="Z143" s="27" t="str"/>
      <x:c r="AA143" s="27" t="str"/>
      <x:c r="AB143" s="27" t="str"/>
      <x:c r="AC143" s="27" t="str">
        <x:v>C:\PRAGMA_THESIS_LOCAL\02_문헌\학술문헌\[02-005]_崔나리(2025)_생성형 AI 기반 일본어 예문 생성의 품질 검토 제약 수준별 프롬프트_프롬프트제약·생성품질.pdf</x:v>
      </x:c>
      <x:c r="AD143" s="27" t="str">
        <x:v>2026-08-13T20:49:21</x:v>
      </x:c>
      <x:c r="AE143" s="28" t="n">
        <x:v>1007380</x:v>
      </x:c>
      <x:c r="AF143" s="27" t="str">
        <x:v>e43f6ce6754fc0f82e43f107ae3ab678e0931f757511798871fcc0e894db05aa</x:v>
      </x:c>
      <x:c r="AG143" s="27" t="str"/>
    </x:row>
    <x:row r="144" ht="18" customHeight="1">
      <x:c r="A144" s="27" t="str">
        <x:v>LIT-20260814-143</x:v>
      </x:c>
      <x:c r="B144" s="27" t="str">
        <x:v>02-005</x:v>
      </x:c>
      <x:c r="C144" s="27" t="str">
        <x:v>zh</x:v>
      </x:c>
      <x:c r="D144" s="27" t="str">
        <x:v>[02-005]_张威(2024)_人工智能时代翻译专业面临的挑战与出路_AI번역전공·사회조사.pdf</x:v>
      </x:c>
      <x:c r="E144" s="27" t="str">
        <x:v>PDF</x:v>
      </x:c>
      <x:c r="F144" s="27" t="n">
        <x:v>10</x:v>
      </x:c>
      <x:c r="G144" s="27" t="str">
        <x:v>full</x:v>
      </x:c>
      <x:c r="H144" s="27" t="str">
        <x:v>native</x:v>
      </x:c>
      <x:c r="I144" s="27" t="str">
        <x:v>张威</x:v>
      </x:c>
      <x:c r="J144" s="27" t="str">
        <x:v>2024</x:v>
      </x:c>
      <x:c r="K144" s="27" t="str">
        <x:v>人工智能时代翻译专业面临的挑战与出路</x:v>
      </x:c>
      <x:c r="L144" s="27" t="str">
        <x:v>AI번역전공·사회조사</x:v>
      </x:c>
      <x:c r="M144" s="27" t="str">
        <x:v>unverified</x:v>
      </x:c>
      <x:c r="N144" s="27" t="str">
        <x:v>M0</x:v>
      </x:c>
      <x:c r="O144" s="27" t="str"/>
      <x:c r="P144" s="27"/>
      <x:c r="Q144" s="27"/>
      <x:c r="R144" s="27"/>
      <x:c r="S144" s="27"/>
      <x:c r="T144" s="27"/>
      <x:c r="U144" s="27"/>
      <x:c r="V144" s="27" t="str">
        <x:f>IF(COUNTA(P144:U144)=0,"",SUM(P144:U144))</x:f>
      </x:c>
      <x:c r="W144" s="27" t="str">
        <x:v>02-005</x:v>
      </x:c>
      <x:c r="X144" s="27" t="str">
        <x:v>T1_candidate</x:v>
      </x:c>
      <x:c r="Y144" s="27" t="str">
        <x:v>owned</x:v>
      </x:c>
      <x:c r="Z144" s="27" t="str"/>
      <x:c r="AA144" s="27" t="str"/>
      <x:c r="AB144" s="27" t="str"/>
      <x:c r="AC144" s="27" t="str">
        <x:v>C:\PRAGMA_THESIS_LOCAL\02_문헌\학술문헌\[02-005]_张威(2024)_人工智能时代翻译专业面临的挑战与出路_AI번역전공·사회조사.pdf</x:v>
      </x:c>
      <x:c r="AD144" s="27" t="str">
        <x:v>2026-08-14T11:23:41</x:v>
      </x:c>
      <x:c r="AE144" s="28" t="n">
        <x:v>1888004</x:v>
      </x:c>
      <x:c r="AF144" s="27" t="str">
        <x:v>9af5502996a6e474cb50779f0ebbd61eb89b4cb1cb25c16d40cc8807f71edbe4</x:v>
      </x:c>
      <x:c r="AG144" s="27" t="str"/>
    </x:row>
    <x:row r="145" ht="18" customHeight="1">
      <x:c r="A145" s="27" t="str">
        <x:v>LIT-20260814-144</x:v>
      </x:c>
      <x:c r="B145" s="27" t="str">
        <x:v>02-005</x:v>
      </x:c>
      <x:c r="C145" s="27" t="str">
        <x:v>zh</x:v>
      </x:c>
      <x:c r="D145" s="27" t="str">
        <x:v>[02-005]_张师语(2025)_大语言模型驱动的译后编辑优化与多智能体翻译教学研究_AI번역교육·다중에이전트.pdf</x:v>
      </x:c>
      <x:c r="E145" s="27" t="str">
        <x:v>PDF</x:v>
      </x:c>
      <x:c r="F145" s="27" t="n">
        <x:v>128</x:v>
      </x:c>
      <x:c r="G145" s="27" t="str">
        <x:v>full</x:v>
      </x:c>
      <x:c r="H145" s="27" t="str">
        <x:v>native</x:v>
      </x:c>
      <x:c r="I145" s="27" t="str">
        <x:v>张师语</x:v>
      </x:c>
      <x:c r="J145" s="27" t="str">
        <x:v>2025</x:v>
      </x:c>
      <x:c r="K145" s="27" t="str">
        <x:v>大语言模型驱动的译后编辑优化与多智能体翻译教学研究</x:v>
      </x:c>
      <x:c r="L145" s="27" t="str">
        <x:v>AI번역교육·다중에이전트</x:v>
      </x:c>
      <x:c r="M145" s="27" t="str">
        <x:v>unverified</x:v>
      </x:c>
      <x:c r="N145" s="27" t="str">
        <x:v>M0</x:v>
      </x:c>
      <x:c r="O145" s="27" t="str"/>
      <x:c r="P145" s="27"/>
      <x:c r="Q145" s="27"/>
      <x:c r="R145" s="27"/>
      <x:c r="S145" s="27"/>
      <x:c r="T145" s="27"/>
      <x:c r="U145" s="27"/>
      <x:c r="V145" s="27" t="str">
        <x:f>IF(COUNTA(P145:U145)=0,"",SUM(P145:U145))</x:f>
      </x:c>
      <x:c r="W145" s="27" t="str">
        <x:v>02-005</x:v>
      </x:c>
      <x:c r="X145" s="27" t="str">
        <x:v>T1_candidate</x:v>
      </x:c>
      <x:c r="Y145" s="27" t="str">
        <x:v>owned</x:v>
      </x:c>
      <x:c r="Z145" s="27" t="str"/>
      <x:c r="AA145" s="27" t="str"/>
      <x:c r="AB145" s="27" t="str"/>
      <x:c r="AC145" s="27" t="str">
        <x:v>C:\PRAGMA_THESIS_LOCAL\02_문헌\학술문헌\[02-005]_张师语(2025)_大语言模型驱动的译后编辑优化与多智能体翻译教学研究_AI번역교육·다중에이전트.pdf</x:v>
      </x:c>
      <x:c r="AD145" s="27" t="str">
        <x:v>2026-08-14T11:38:10</x:v>
      </x:c>
      <x:c r="AE145" s="28" t="n">
        <x:v>3898208</x:v>
      </x:c>
      <x:c r="AF145" s="27" t="str">
        <x:v>2792ee14a93e74bdfae0604f6e8b396754fd0223efa1fa89c8d527165c9a32b7</x:v>
      </x:c>
      <x:c r="AG145" s="27" t="str"/>
    </x:row>
    <x:row r="146" ht="18" customHeight="1">
      <x:c r="A146" s="27" t="str">
        <x:v>LIT-20260814-145</x:v>
      </x:c>
      <x:c r="B146" s="27" t="str">
        <x:v>02-005</x:v>
      </x:c>
      <x:c r="C146" s="27" t="str">
        <x:v>zh</x:v>
      </x:c>
      <x:c r="D146" s="27" t="str">
        <x:v>[02-005]_张玮 等(2025)_基于大语言模型的智能教学内容提炼与自适应学习平台设计研究_AI교육플랫폼·자적응학습.pdf</x:v>
      </x:c>
      <x:c r="E146" s="27" t="str">
        <x:v>PDF</x:v>
      </x:c>
      <x:c r="F146" s="27" t="n">
        <x:v>6</x:v>
      </x:c>
      <x:c r="G146" s="27" t="str">
        <x:v>full</x:v>
      </x:c>
      <x:c r="H146" s="27" t="str">
        <x:v>native</x:v>
      </x:c>
      <x:c r="I146" s="27" t="str">
        <x:v>张玮 等</x:v>
      </x:c>
      <x:c r="J146" s="27" t="str">
        <x:v>2025</x:v>
      </x:c>
      <x:c r="K146" s="27" t="str">
        <x:v>基于大语言模型的智能教学内容提炼与自适应学习平台设计研究</x:v>
      </x:c>
      <x:c r="L146" s="27" t="str">
        <x:v>AI교육플랫폼·자적응학습</x:v>
      </x:c>
      <x:c r="M146" s="27" t="str">
        <x:v>unverified</x:v>
      </x:c>
      <x:c r="N146" s="27" t="str">
        <x:v>M0</x:v>
      </x:c>
      <x:c r="O146" s="27" t="str"/>
      <x:c r="P146" s="27"/>
      <x:c r="Q146" s="27"/>
      <x:c r="R146" s="27"/>
      <x:c r="S146" s="27"/>
      <x:c r="T146" s="27"/>
      <x:c r="U146" s="27"/>
      <x:c r="V146" s="27" t="str">
        <x:f>IF(COUNTA(P146:U146)=0,"",SUM(P146:U146))</x:f>
      </x:c>
      <x:c r="W146" s="27" t="str">
        <x:v>02-005</x:v>
      </x:c>
      <x:c r="X146" s="27" t="str">
        <x:v>T1_candidate</x:v>
      </x:c>
      <x:c r="Y146" s="27" t="str">
        <x:v>owned</x:v>
      </x:c>
      <x:c r="Z146" s="27" t="str"/>
      <x:c r="AA146" s="27" t="str"/>
      <x:c r="AB146" s="27" t="str"/>
      <x:c r="AC146" s="27" t="str">
        <x:v>C:\PRAGMA_THESIS_LOCAL\02_문헌\학술문헌\[02-005]_张玮 等(2025)_基于大语言模型的智能教学内容提炼与自适应学习平台设计研究_AI교육플랫폼·자적응학습.pdf</x:v>
      </x:c>
      <x:c r="AD146" s="27" t="str">
        <x:v>2026-08-14T11:33:45</x:v>
      </x:c>
      <x:c r="AE146" s="28" t="n">
        <x:v>1643221</x:v>
      </x:c>
      <x:c r="AF146" s="27" t="str">
        <x:v>ac53e92f8b27911f2c0a2ace8b76f3e72147fa79b355212d2413d6e793884885</x:v>
      </x:c>
      <x:c r="AG146" s="27" t="str"/>
    </x:row>
    <x:row r="147" ht="18" customHeight="1">
      <x:c r="A147" s="27" t="str">
        <x:v>LIT-20260814-146</x:v>
      </x:c>
      <x:c r="B147" s="27" t="str">
        <x:v>02-005</x:v>
      </x:c>
      <x:c r="C147" s="27" t="str">
        <x:v>zh</x:v>
      </x:c>
      <x:c r="D147" s="27" t="str">
        <x:v>[02-005]_张静(2024)_生成式人工智能背景下翻译高阶思维教学模式构建_AI번역교육·고차사고.pdf</x:v>
      </x:c>
      <x:c r="E147" s="27" t="str">
        <x:v>PDF</x:v>
      </x:c>
      <x:c r="F147" s="27" t="n">
        <x:v>10</x:v>
      </x:c>
      <x:c r="G147" s="27" t="str">
        <x:v>full</x:v>
      </x:c>
      <x:c r="H147" s="27" t="str">
        <x:v>native</x:v>
      </x:c>
      <x:c r="I147" s="27" t="str">
        <x:v>张静</x:v>
      </x:c>
      <x:c r="J147" s="27" t="str">
        <x:v>2024</x:v>
      </x:c>
      <x:c r="K147" s="27" t="str">
        <x:v>生成式人工智能背景下翻译高阶思维教学模式构建</x:v>
      </x:c>
      <x:c r="L147" s="27" t="str">
        <x:v>AI번역교육·고차사고</x:v>
      </x:c>
      <x:c r="M147" s="27" t="str">
        <x:v>unverified</x:v>
      </x:c>
      <x:c r="N147" s="27" t="str">
        <x:v>M0</x:v>
      </x:c>
      <x:c r="O147" s="27" t="str"/>
      <x:c r="P147" s="27"/>
      <x:c r="Q147" s="27"/>
      <x:c r="R147" s="27"/>
      <x:c r="S147" s="27"/>
      <x:c r="T147" s="27"/>
      <x:c r="U147" s="27"/>
      <x:c r="V147" s="27" t="str">
        <x:f>IF(COUNTA(P147:U147)=0,"",SUM(P147:U147))</x:f>
      </x:c>
      <x:c r="W147" s="27" t="str">
        <x:v>02-005</x:v>
      </x:c>
      <x:c r="X147" s="27" t="str">
        <x:v>T1_candidate</x:v>
      </x:c>
      <x:c r="Y147" s="27" t="str">
        <x:v>owned</x:v>
      </x:c>
      <x:c r="Z147" s="27" t="str"/>
      <x:c r="AA147" s="27" t="str"/>
      <x:c r="AB147" s="27" t="str"/>
      <x:c r="AC147" s="27" t="str">
        <x:v>C:\PRAGMA_THESIS_LOCAL\02_문헌\학술문헌\[02-005]_张静(2024)_生成式人工智能背景下翻译高阶思维教学模式构建_AI번역교육·고차사고.pdf</x:v>
      </x:c>
      <x:c r="AD147" s="27" t="str">
        <x:v>2026-08-14T11:23:17</x:v>
      </x:c>
      <x:c r="AE147" s="28" t="n">
        <x:v>2044045</x:v>
      </x:c>
      <x:c r="AF147" s="27" t="str">
        <x:v>cfa4ad40d57ea813ab51fbf827fde03bcfabdc02582322fefd8b3bc68708cb24</x:v>
      </x:c>
      <x:c r="AG147" s="27" t="str"/>
    </x:row>
    <x:row r="148" ht="18" customHeight="1">
      <x:c r="A148" s="27" t="str">
        <x:v>LIT-20260814-147</x:v>
      </x:c>
      <x:c r="B148" s="27" t="str">
        <x:v>02-005</x:v>
      </x:c>
      <x:c r="C148" s="27" t="str">
        <x:v>zh</x:v>
      </x:c>
      <x:c r="D148" s="27" t="str">
        <x:v>[02-005]_曹贤文 等(2024)_数智时代的国际中文教育变与不变_AI중문교육·인간기계협업.pdf</x:v>
      </x:c>
      <x:c r="E148" s="27" t="str">
        <x:v>PDF</x:v>
      </x:c>
      <x:c r="F148" s="27" t="n">
        <x:v>19</x:v>
      </x:c>
      <x:c r="G148" s="27" t="str">
        <x:v>full</x:v>
      </x:c>
      <x:c r="H148" s="27" t="str">
        <x:v>native</x:v>
      </x:c>
      <x:c r="I148" s="27" t="str">
        <x:v>曹贤文 等</x:v>
      </x:c>
      <x:c r="J148" s="27" t="str">
        <x:v>2024</x:v>
      </x:c>
      <x:c r="K148" s="27" t="str">
        <x:v>数智时代的国际中文教育变与不变</x:v>
      </x:c>
      <x:c r="L148" s="27" t="str">
        <x:v>AI중문교육·인간기계협업</x:v>
      </x:c>
      <x:c r="M148" s="27" t="str">
        <x:v>unverified</x:v>
      </x:c>
      <x:c r="N148" s="27" t="str">
        <x:v>M0</x:v>
      </x:c>
      <x:c r="O148" s="27" t="str"/>
      <x:c r="P148" s="27"/>
      <x:c r="Q148" s="27"/>
      <x:c r="R148" s="27"/>
      <x:c r="S148" s="27"/>
      <x:c r="T148" s="27"/>
      <x:c r="U148" s="27"/>
      <x:c r="V148" s="27" t="str">
        <x:f>IF(COUNTA(P148:U148)=0,"",SUM(P148:U148))</x:f>
      </x:c>
      <x:c r="W148" s="27" t="str">
        <x:v>02-005</x:v>
      </x:c>
      <x:c r="X148" s="27" t="str">
        <x:v>T1_candidate</x:v>
      </x:c>
      <x:c r="Y148" s="27" t="str">
        <x:v>owned</x:v>
      </x:c>
      <x:c r="Z148" s="27" t="str"/>
      <x:c r="AA148" s="27" t="str"/>
      <x:c r="AB148" s="27" t="str"/>
      <x:c r="AC148" s="27" t="str">
        <x:v>C:\PRAGMA_THESIS_LOCAL\02_문헌\학술문헌\[02-005]_曹贤文 等(2024)_数智时代的国际中文教育变与不变_AI중문교육·인간기계협업.pdf</x:v>
      </x:c>
      <x:c r="AD148" s="27" t="str">
        <x:v>2026-08-14T11:34:56</x:v>
      </x:c>
      <x:c r="AE148" s="28" t="n">
        <x:v>1199165</x:v>
      </x:c>
      <x:c r="AF148" s="27" t="str">
        <x:v>36fcaccd5d0fba48128ac1f4963ec904ef359e0af26c65a5a93c37c63bbc4dbb</x:v>
      </x:c>
      <x:c r="AG148" s="27" t="str"/>
    </x:row>
    <x:row r="149" ht="18" customHeight="1">
      <x:c r="A149" s="27" t="str">
        <x:v>LIT-20260814-148</x:v>
      </x:c>
      <x:c r="B149" s="27" t="str">
        <x:v>02-005</x:v>
      </x:c>
      <x:c r="C149" s="27" t="str">
        <x:v>zh</x:v>
      </x:c>
      <x:c r="D149" s="27" t="str">
        <x:v>[02-005]_沙璐 等(2026)_GenAI赋能翻译传播教学模式构建实证研究_AI번역교육·준실험.pdf</x:v>
      </x:c>
      <x:c r="E149" s="27" t="str">
        <x:v>PDF</x:v>
      </x:c>
      <x:c r="F149" s="27" t="n">
        <x:v>9</x:v>
      </x:c>
      <x:c r="G149" s="27" t="str">
        <x:v>full</x:v>
      </x:c>
      <x:c r="H149" s="27" t="str">
        <x:v>native</x:v>
      </x:c>
      <x:c r="I149" s="27" t="str">
        <x:v>沙璐 等</x:v>
      </x:c>
      <x:c r="J149" s="27" t="str">
        <x:v>2026</x:v>
      </x:c>
      <x:c r="K149" s="27" t="str">
        <x:v>GenAI赋能翻译传播教学模式构建实证研究</x:v>
      </x:c>
      <x:c r="L149" s="27" t="str">
        <x:v>AI번역교육·준실험</x:v>
      </x:c>
      <x:c r="M149" s="27" t="str">
        <x:v>unverified</x:v>
      </x:c>
      <x:c r="N149" s="27" t="str">
        <x:v>M0</x:v>
      </x:c>
      <x:c r="O149" s="27" t="str"/>
      <x:c r="P149" s="27"/>
      <x:c r="Q149" s="27"/>
      <x:c r="R149" s="27"/>
      <x:c r="S149" s="27"/>
      <x:c r="T149" s="27"/>
      <x:c r="U149" s="27"/>
      <x:c r="V149" s="27" t="str">
        <x:f>IF(COUNTA(P149:U149)=0,"",SUM(P149:U149))</x:f>
      </x:c>
      <x:c r="W149" s="27" t="str">
        <x:v>02-005</x:v>
      </x:c>
      <x:c r="X149" s="27" t="str">
        <x:v>T1_candidate</x:v>
      </x:c>
      <x:c r="Y149" s="27" t="str">
        <x:v>owned</x:v>
      </x:c>
      <x:c r="Z149" s="27" t="str"/>
      <x:c r="AA149" s="27" t="str"/>
      <x:c r="AB149" s="27" t="str"/>
      <x:c r="AC149" s="27" t="str">
        <x:v>C:\PRAGMA_THESIS_LOCAL\02_문헌\학술문헌\[02-005]_沙璐 等(2026)_GenAI赋能翻译传播教学模式构建实证研究_AI번역교육·준실험.pdf</x:v>
      </x:c>
      <x:c r="AD149" s="27" t="str">
        <x:v>2026-08-14T11:24:06</x:v>
      </x:c>
      <x:c r="AE149" s="28" t="n">
        <x:v>268455</x:v>
      </x:c>
      <x:c r="AF149" s="27" t="str">
        <x:v>dc0a4194db2eababd58cc46d1e43bc1706cd697aa2ba1836926ecfa69b0147df</x:v>
      </x:c>
      <x:c r="AG149" s="27" t="str"/>
    </x:row>
    <x:row r="150" ht="18" customHeight="1">
      <x:c r="A150" s="27" t="str">
        <x:v>LIT-20260814-149</x:v>
      </x:c>
      <x:c r="B150" s="27" t="str">
        <x:v>02-005</x:v>
      </x:c>
      <x:c r="C150" s="27" t="str">
        <x:v>zh</x:v>
      </x:c>
      <x:c r="D150" s="27" t="str">
        <x:v>[02-005]_王华树 等(2026)_智译未来大语言模型如何重塑翻译教育_AI번역교육·통역교육.pdf</x:v>
      </x:c>
      <x:c r="E150" s="27" t="str">
        <x:v>PDF</x:v>
      </x:c>
      <x:c r="F150" s="27" t="n">
        <x:v>9</x:v>
      </x:c>
      <x:c r="G150" s="27" t="str">
        <x:v>full</x:v>
      </x:c>
      <x:c r="H150" s="27" t="str">
        <x:v>native</x:v>
      </x:c>
      <x:c r="I150" s="27" t="str">
        <x:v>王华树 等</x:v>
      </x:c>
      <x:c r="J150" s="27" t="str">
        <x:v>2026</x:v>
      </x:c>
      <x:c r="K150" s="27" t="str">
        <x:v>智译未来大语言模型如何重塑翻译教育</x:v>
      </x:c>
      <x:c r="L150" s="27" t="str">
        <x:v>AI번역교육·통역교육</x:v>
      </x:c>
      <x:c r="M150" s="27" t="str">
        <x:v>unverified</x:v>
      </x:c>
      <x:c r="N150" s="27" t="str">
        <x:v>M0</x:v>
      </x:c>
      <x:c r="O150" s="27" t="str"/>
      <x:c r="P150" s="27"/>
      <x:c r="Q150" s="27"/>
      <x:c r="R150" s="27"/>
      <x:c r="S150" s="27"/>
      <x:c r="T150" s="27"/>
      <x:c r="U150" s="27"/>
      <x:c r="V150" s="27" t="str">
        <x:f>IF(COUNTA(P150:U150)=0,"",SUM(P150:U150))</x:f>
      </x:c>
      <x:c r="W150" s="27" t="str">
        <x:v>02-005</x:v>
      </x:c>
      <x:c r="X150" s="27" t="str">
        <x:v>T1_candidate</x:v>
      </x:c>
      <x:c r="Y150" s="27" t="str">
        <x:v>owned</x:v>
      </x:c>
      <x:c r="Z150" s="27" t="str"/>
      <x:c r="AA150" s="27" t="str"/>
      <x:c r="AB150" s="27" t="str"/>
      <x:c r="AC150" s="27" t="str">
        <x:v>C:\PRAGMA_THESIS_LOCAL\02_문헌\학술문헌\[02-005]_王华树 等(2026)_智译未来大语言模型如何重塑翻译教育_AI번역교육·통역교육.pdf</x:v>
      </x:c>
      <x:c r="AD150" s="27" t="str">
        <x:v>2026-08-14T11:37:57</x:v>
      </x:c>
      <x:c r="AE150" s="28" t="n">
        <x:v>1319538</x:v>
      </x:c>
      <x:c r="AF150" s="27" t="str">
        <x:v>bd6b17dd32d1821052e11878de61915fedbde4a73baba8ea0e89cbe2e2662ed9</x:v>
      </x:c>
      <x:c r="AG150" s="27" t="str"/>
    </x:row>
    <x:row r="151" ht="18" customHeight="1">
      <x:c r="A151" s="27" t="str">
        <x:v>LIT-20260814-150</x:v>
      </x:c>
      <x:c r="B151" s="27" t="str">
        <x:v>02-005</x:v>
      </x:c>
      <x:c r="C151" s="27" t="str">
        <x:v>zh</x:v>
      </x:c>
      <x:c r="D151" s="27" t="str">
        <x:v>[02-005]_王吟颖 等(2025)_人工智能技术对专业口译员能力发展的影响机制研究_통역기술·전문성발달.pdf</x:v>
      </x:c>
      <x:c r="E151" s="27" t="str">
        <x:v>PDF</x:v>
      </x:c>
      <x:c r="F151" s="27" t="n">
        <x:v>10</x:v>
      </x:c>
      <x:c r="G151" s="27" t="str">
        <x:v>full</x:v>
      </x:c>
      <x:c r="H151" s="27" t="str">
        <x:v>native</x:v>
      </x:c>
      <x:c r="I151" s="27" t="str">
        <x:v>王吟颖 等</x:v>
      </x:c>
      <x:c r="J151" s="27" t="str">
        <x:v>2025</x:v>
      </x:c>
      <x:c r="K151" s="27" t="str">
        <x:v>人工智能技术对专业口译员能力发展的影响机制研究</x:v>
      </x:c>
      <x:c r="L151" s="27" t="str">
        <x:v>통역기술·전문성발달</x:v>
      </x:c>
      <x:c r="M151" s="27" t="str">
        <x:v>unverified</x:v>
      </x:c>
      <x:c r="N151" s="27" t="str">
        <x:v>M0</x:v>
      </x:c>
      <x:c r="O151" s="27" t="str"/>
      <x:c r="P151" s="27"/>
      <x:c r="Q151" s="27"/>
      <x:c r="R151" s="27"/>
      <x:c r="S151" s="27"/>
      <x:c r="T151" s="27"/>
      <x:c r="U151" s="27"/>
      <x:c r="V151" s="27" t="str">
        <x:f>IF(COUNTA(P151:U151)=0,"",SUM(P151:U151))</x:f>
      </x:c>
      <x:c r="W151" s="27" t="str">
        <x:v>02-005</x:v>
      </x:c>
      <x:c r="X151" s="27" t="str">
        <x:v>T1_candidate</x:v>
      </x:c>
      <x:c r="Y151" s="27" t="str">
        <x:v>owned</x:v>
      </x:c>
      <x:c r="Z151" s="27" t="str"/>
      <x:c r="AA151" s="27" t="str"/>
      <x:c r="AB151" s="27" t="str"/>
      <x:c r="AC151" s="27" t="str">
        <x:v>C:\PRAGMA_THESIS_LOCAL\02_문헌\학술문헌\[02-005]_王吟颖 等(2025)_人工智能技术对专业口译员能力发展的影响机制研究_통역기술·전문성발달.pdf</x:v>
      </x:c>
      <x:c r="AD151" s="27" t="str">
        <x:v>2026-08-14T11:35:32</x:v>
      </x:c>
      <x:c r="AE151" s="28" t="n">
        <x:v>1198284</x:v>
      </x:c>
      <x:c r="AF151" s="27" t="str">
        <x:v>067655c2fc6a595f2a429e6a27adfbe4bb36ba7ae9b285061847f8e3d1c59686</x:v>
      </x:c>
      <x:c r="AG151" s="27" t="str"/>
    </x:row>
    <x:row r="152" ht="18" customHeight="1">
      <x:c r="A152" s="27" t="str">
        <x:v>LIT-20260814-151</x:v>
      </x:c>
      <x:c r="B152" s="27" t="str">
        <x:v>02-005</x:v>
      </x:c>
      <x:c r="C152" s="27" t="str">
        <x:v>zh</x:v>
      </x:c>
      <x:c r="D152" s="27" t="str">
        <x:v>[02-005]_王志军 等(2025)_基于人机协作的译后编辑能力培养模式探索_AI번역교육·포스트에디팅.pdf</x:v>
      </x:c>
      <x:c r="E152" s="27" t="str">
        <x:v>PDF</x:v>
      </x:c>
      <x:c r="F152" s="27" t="n">
        <x:v>6</x:v>
      </x:c>
      <x:c r="G152" s="27" t="str">
        <x:v>full</x:v>
      </x:c>
      <x:c r="H152" s="27" t="str">
        <x:v>native</x:v>
      </x:c>
      <x:c r="I152" s="27" t="str">
        <x:v>王志军 等</x:v>
      </x:c>
      <x:c r="J152" s="27" t="str">
        <x:v>2025</x:v>
      </x:c>
      <x:c r="K152" s="27" t="str">
        <x:v>基于人机协作的译后编辑能力培养模式探索</x:v>
      </x:c>
      <x:c r="L152" s="27" t="str">
        <x:v>AI번역교육·포스트에디팅</x:v>
      </x:c>
      <x:c r="M152" s="27" t="str">
        <x:v>unverified</x:v>
      </x:c>
      <x:c r="N152" s="27" t="str">
        <x:v>M0</x:v>
      </x:c>
      <x:c r="O152" s="27" t="str"/>
      <x:c r="P152" s="27"/>
      <x:c r="Q152" s="27"/>
      <x:c r="R152" s="27"/>
      <x:c r="S152" s="27"/>
      <x:c r="T152" s="27"/>
      <x:c r="U152" s="27"/>
      <x:c r="V152" s="27" t="str">
        <x:f>IF(COUNTA(P152:U152)=0,"",SUM(P152:U152))</x:f>
      </x:c>
      <x:c r="W152" s="27" t="str">
        <x:v>02-005</x:v>
      </x:c>
      <x:c r="X152" s="27" t="str">
        <x:v>T1_candidate</x:v>
      </x:c>
      <x:c r="Y152" s="27" t="str">
        <x:v>owned</x:v>
      </x:c>
      <x:c r="Z152" s="27" t="str"/>
      <x:c r="AA152" s="27" t="str"/>
      <x:c r="AB152" s="27" t="str"/>
      <x:c r="AC152" s="27" t="str">
        <x:v>C:\PRAGMA_THESIS_LOCAL\02_문헌\학술문헌\[02-005]_王志军 等(2025)_基于人机协作的译后编辑能力培养模式探索_AI번역교육·포스트에디팅.pdf</x:v>
      </x:c>
      <x:c r="AD152" s="27" t="str">
        <x:v>2026-08-14T11:35:59</x:v>
      </x:c>
      <x:c r="AE152" s="28" t="n">
        <x:v>498712</x:v>
      </x:c>
      <x:c r="AF152" s="27" t="str">
        <x:v>e3c4f6dba41f8ed27a67340f6842b44bf7326f7b057a57d535dad5dd90b7d89f</x:v>
      </x:c>
      <x:c r="AG152" s="27" t="str"/>
    </x:row>
    <x:row r="153" ht="18" customHeight="1">
      <x:c r="A153" s="27" t="str">
        <x:v>LIT-20260814-152</x:v>
      </x:c>
      <x:c r="B153" s="27" t="str">
        <x:v>02-005</x:v>
      </x:c>
      <x:c r="C153" s="27" t="str">
        <x:v>zh</x:v>
      </x:c>
      <x:c r="D153" s="27" t="str">
        <x:v>[02-005]_王海啸 等(2026)_教育智能体内涵分类与外语教学应用_AI에이전트·외국어교육.pdf</x:v>
      </x:c>
      <x:c r="E153" s="27" t="str">
        <x:v>PDF</x:v>
      </x:c>
      <x:c r="F153" s="27" t="n">
        <x:v>8</x:v>
      </x:c>
      <x:c r="G153" s="27" t="str">
        <x:v>full</x:v>
      </x:c>
      <x:c r="H153" s="27" t="str">
        <x:v>native</x:v>
      </x:c>
      <x:c r="I153" s="27" t="str">
        <x:v>王海啸 等</x:v>
      </x:c>
      <x:c r="J153" s="27" t="str">
        <x:v>2026</x:v>
      </x:c>
      <x:c r="K153" s="27" t="str">
        <x:v>教育智能体内涵分类与外语教学应用</x:v>
      </x:c>
      <x:c r="L153" s="27" t="str">
        <x:v>AI에이전트·외국어교육</x:v>
      </x:c>
      <x:c r="M153" s="27" t="str">
        <x:v>unverified</x:v>
      </x:c>
      <x:c r="N153" s="27" t="str">
        <x:v>M0</x:v>
      </x:c>
      <x:c r="O153" s="27" t="str"/>
      <x:c r="P153" s="27"/>
      <x:c r="Q153" s="27"/>
      <x:c r="R153" s="27"/>
      <x:c r="S153" s="27"/>
      <x:c r="T153" s="27"/>
      <x:c r="U153" s="27"/>
      <x:c r="V153" s="27" t="str">
        <x:f>IF(COUNTA(P153:U153)=0,"",SUM(P153:U153))</x:f>
      </x:c>
      <x:c r="W153" s="27" t="str">
        <x:v>02-005</x:v>
      </x:c>
      <x:c r="X153" s="27" t="str">
        <x:v>T1_candidate</x:v>
      </x:c>
      <x:c r="Y153" s="27" t="str">
        <x:v>owned</x:v>
      </x:c>
      <x:c r="Z153" s="27" t="str"/>
      <x:c r="AA153" s="27" t="str"/>
      <x:c r="AB153" s="27" t="str"/>
      <x:c r="AC153" s="27" t="str">
        <x:v>C:\PRAGMA_THESIS_LOCAL\02_문헌\학술문헌\[02-005]_王海啸 等(2026)_教育智能体内涵分类与外语教学应用_AI에이전트·외국어교육.pdf</x:v>
      </x:c>
      <x:c r="AD153" s="27" t="str">
        <x:v>2026-08-14T11:37:39</x:v>
      </x:c>
      <x:c r="AE153" s="28" t="n">
        <x:v>128302</x:v>
      </x:c>
      <x:c r="AF153" s="27" t="str">
        <x:v>bbb0ae5a90aba250581f4c4c9109803b27fa5d2338a2d097cba44dc32b7b1c61</x:v>
      </x:c>
      <x:c r="AG153" s="27" t="str"/>
    </x:row>
    <x:row r="154" ht="18" customHeight="1">
      <x:c r="A154" s="27" t="str">
        <x:v>LIT-20260814-153</x:v>
      </x:c>
      <x:c r="B154" s="27" t="str">
        <x:v>02-005</x:v>
      </x:c>
      <x:c r="C154" s="27" t="str">
        <x:v>zh</x:v>
      </x:c>
      <x:c r="D154" s="27" t="str">
        <x:v>[02-005]_胡开宝 等(2024)_大语言模型背景下的翻译人才培养_AI번역교육·인재양성.pdf</x:v>
      </x:c>
      <x:c r="E154" s="27" t="str">
        <x:v>PDF</x:v>
      </x:c>
      <x:c r="F154" s="27" t="n">
        <x:v>6</x:v>
      </x:c>
      <x:c r="G154" s="27" t="str">
        <x:v>full</x:v>
      </x:c>
      <x:c r="H154" s="27" t="str">
        <x:v>native</x:v>
      </x:c>
      <x:c r="I154" s="27" t="str">
        <x:v>胡开宝 等</x:v>
      </x:c>
      <x:c r="J154" s="27" t="str">
        <x:v>2024</x:v>
      </x:c>
      <x:c r="K154" s="27" t="str">
        <x:v>大语言模型背景下的翻译人才培养</x:v>
      </x:c>
      <x:c r="L154" s="27" t="str">
        <x:v>AI번역교육·인재양성</x:v>
      </x:c>
      <x:c r="M154" s="27" t="str">
        <x:v>unverified</x:v>
      </x:c>
      <x:c r="N154" s="27" t="str">
        <x:v>M0</x:v>
      </x:c>
      <x:c r="O154" s="27" t="str"/>
      <x:c r="P154" s="27"/>
      <x:c r="Q154" s="27"/>
      <x:c r="R154" s="27"/>
      <x:c r="S154" s="27"/>
      <x:c r="T154" s="27"/>
      <x:c r="U154" s="27"/>
      <x:c r="V154" s="27" t="str">
        <x:f>IF(COUNTA(P154:U154)=0,"",SUM(P154:U154))</x:f>
      </x:c>
      <x:c r="W154" s="27" t="str">
        <x:v>02-005</x:v>
      </x:c>
      <x:c r="X154" s="27" t="str">
        <x:v>T1_candidate</x:v>
      </x:c>
      <x:c r="Y154" s="27" t="str">
        <x:v>owned</x:v>
      </x:c>
      <x:c r="Z154" s="27" t="str"/>
      <x:c r="AA154" s="27" t="str"/>
      <x:c r="AB154" s="27" t="str"/>
      <x:c r="AC154" s="27" t="str">
        <x:v>C:\PRAGMA_THESIS_LOCAL\02_문헌\학술문헌\[02-005]_胡开宝 等(2024)_大语言模型背景下的翻译人才培养_AI번역교육·인재양성.pdf</x:v>
      </x:c>
      <x:c r="AD154" s="27" t="str">
        <x:v>2026-08-14T11:35:13</x:v>
      </x:c>
      <x:c r="AE154" s="28" t="n">
        <x:v>1033023</x:v>
      </x:c>
      <x:c r="AF154" s="27" t="str">
        <x:v>1fd8a5d9cae2f53357807a3ea3c410944db3c7db0fbc978bf0b269c39d6a3fe9</x:v>
      </x:c>
      <x:c r="AG154" s="27" t="str"/>
    </x:row>
    <x:row r="155" ht="18" customHeight="1">
      <x:c r="A155" s="27" t="str">
        <x:v>LIT-20260814-154</x:v>
      </x:c>
      <x:c r="B155" s="27" t="str">
        <x:v>02-005</x:v>
      </x:c>
      <x:c r="C155" s="27" t="str">
        <x:v>zh</x:v>
      </x:c>
      <x:c r="D155" s="27" t="str">
        <x:v>[02-005]_蔡薇 等(2025)_DeepSeek赋能国际中文教育创新与发展_AI중문교육·학습원리.pdf</x:v>
      </x:c>
      <x:c r="E155" s="27" t="str">
        <x:v>PDF</x:v>
      </x:c>
      <x:c r="F155" s="27" t="n">
        <x:v>25</x:v>
      </x:c>
      <x:c r="G155" s="27" t="str">
        <x:v>full</x:v>
      </x:c>
      <x:c r="H155" s="27" t="str">
        <x:v>native</x:v>
      </x:c>
      <x:c r="I155" s="27" t="str">
        <x:v>蔡薇 等</x:v>
      </x:c>
      <x:c r="J155" s="27" t="str">
        <x:v>2025</x:v>
      </x:c>
      <x:c r="K155" s="27" t="str">
        <x:v>DeepSeek赋能国际中文教育创新与发展</x:v>
      </x:c>
      <x:c r="L155" s="27" t="str">
        <x:v>AI중문교육·학습원리</x:v>
      </x:c>
      <x:c r="M155" s="27" t="str">
        <x:v>unverified</x:v>
      </x:c>
      <x:c r="N155" s="27" t="str">
        <x:v>M0</x:v>
      </x:c>
      <x:c r="O155" s="27" t="str"/>
      <x:c r="P155" s="27"/>
      <x:c r="Q155" s="27"/>
      <x:c r="R155" s="27"/>
      <x:c r="S155" s="27"/>
      <x:c r="T155" s="27"/>
      <x:c r="U155" s="27"/>
      <x:c r="V155" s="27" t="str">
        <x:f>IF(COUNTA(P155:U155)=0,"",SUM(P155:U155))</x:f>
      </x:c>
      <x:c r="W155" s="27" t="str">
        <x:v>02-005</x:v>
      </x:c>
      <x:c r="X155" s="27" t="str">
        <x:v>T1_candidate</x:v>
      </x:c>
      <x:c r="Y155" s="27" t="str">
        <x:v>owned</x:v>
      </x:c>
      <x:c r="Z155" s="27" t="str"/>
      <x:c r="AA155" s="27" t="str"/>
      <x:c r="AB155" s="27" t="str"/>
      <x:c r="AC155" s="27" t="str">
        <x:v>C:\PRAGMA_THESIS_LOCAL\02_문헌\학술문헌\[02-005]_蔡薇 等(2025)_DeepSeek赋能国际中文教育创新与发展_AI중문교육·학습원리.pdf</x:v>
      </x:c>
      <x:c r="AD155" s="27" t="str">
        <x:v>2026-08-14T11:33:28</x:v>
      </x:c>
      <x:c r="AE155" s="28" t="n">
        <x:v>387253</x:v>
      </x:c>
      <x:c r="AF155" s="27" t="str">
        <x:v>105f20ff15d499e30603a4b28dcd1298f7a7da170e2c4f01e8b8652b61dad754</x:v>
      </x:c>
      <x:c r="AG155" s="27" t="str"/>
    </x:row>
    <x:row r="156" ht="18" customHeight="1">
      <x:c r="A156" s="27" t="str">
        <x:v>LIT-20260814-155</x:v>
      </x:c>
      <x:c r="B156" s="27" t="str">
        <x:v>02-005</x:v>
      </x:c>
      <x:c r="C156" s="27" t="str">
        <x:v>zh</x:v>
      </x:c>
      <x:c r="D156" s="27" t="str">
        <x:v>[02-005]_闫 帅(2026)_DeepSeek在汉语学习者偏误中的纠错表现_AI오류교정·학습자코퍼스.pdf</x:v>
      </x:c>
      <x:c r="E156" s="27" t="str">
        <x:v>PDF</x:v>
      </x:c>
      <x:c r="F156" s="27" t="n">
        <x:v>26</x:v>
      </x:c>
      <x:c r="G156" s="27" t="str">
        <x:v>full</x:v>
      </x:c>
      <x:c r="H156" s="27" t="str">
        <x:v>native</x:v>
      </x:c>
      <x:c r="I156" s="27" t="str">
        <x:v>闫 帅</x:v>
      </x:c>
      <x:c r="J156" s="27" t="str">
        <x:v>2026</x:v>
      </x:c>
      <x:c r="K156" s="27" t="str">
        <x:v>DeepSeek在汉语学习者偏误中的纠错表现</x:v>
      </x:c>
      <x:c r="L156" s="27" t="str">
        <x:v>AI오류교정·학습자코퍼스</x:v>
      </x:c>
      <x:c r="M156" s="27" t="str">
        <x:v>unverified</x:v>
      </x:c>
      <x:c r="N156" s="27" t="str">
        <x:v>M0</x:v>
      </x:c>
      <x:c r="O156" s="27" t="str"/>
      <x:c r="P156" s="27"/>
      <x:c r="Q156" s="27"/>
      <x:c r="R156" s="27"/>
      <x:c r="S156" s="27"/>
      <x:c r="T156" s="27"/>
      <x:c r="U156" s="27"/>
      <x:c r="V156" s="27" t="str">
        <x:f>IF(COUNTA(P156:U156)=0,"",SUM(P156:U156))</x:f>
      </x:c>
      <x:c r="W156" s="27" t="str">
        <x:v>02-005</x:v>
      </x:c>
      <x:c r="X156" s="27" t="str">
        <x:v>T1_candidate</x:v>
      </x:c>
      <x:c r="Y156" s="27" t="str">
        <x:v>owned</x:v>
      </x:c>
      <x:c r="Z156" s="27" t="str"/>
      <x:c r="AA156" s="27" t="str"/>
      <x:c r="AB156" s="27" t="str"/>
      <x:c r="AC156" s="27" t="str">
        <x:v>C:\PRAGMA_THESIS_LOCAL\02_문헌\학술문헌\[02-005]_闫 帅(2026)_DeepSeek在汉语学习者偏误中的纠错表现_AI오류교정·학습자코퍼스.pdf</x:v>
      </x:c>
      <x:c r="AD156" s="27" t="str">
        <x:v>2026-08-13T20:54:55</x:v>
      </x:c>
      <x:c r="AE156" s="28" t="n">
        <x:v>1345354</x:v>
      </x:c>
      <x:c r="AF156" s="27" t="str">
        <x:v>ff590a8e4dd8bf8cfc0eba11fda363b7cd978614302aff46b609ba8fceb046c5</x:v>
      </x:c>
      <x:c r="AG156" s="27" t="str"/>
    </x:row>
    <x:row r="157" ht="18" customHeight="1">
      <x:c r="A157" s="27" t="str">
        <x:v>LIT-20260814-156</x:v>
      </x:c>
      <x:c r="B157" s="27" t="str">
        <x:v>02-005</x:v>
      </x:c>
      <x:c r="C157" s="27" t="str">
        <x:v>zh</x:v>
      </x:c>
      <x:c r="D157" s="27" t="str">
        <x:v>[02-005]_高怡楠 等(2025)_大语言模型赋能国际中文语用教学的可行性研究_AI화용능력·거절화행.pdf</x:v>
      </x:c>
      <x:c r="E157" s="27" t="str">
        <x:v>PDF</x:v>
      </x:c>
      <x:c r="F157" s="27" t="n">
        <x:v>14</x:v>
      </x:c>
      <x:c r="G157" s="27" t="str">
        <x:v>full</x:v>
      </x:c>
      <x:c r="H157" s="27" t="str">
        <x:v>native</x:v>
      </x:c>
      <x:c r="I157" s="27" t="str">
        <x:v>高怡楠 等</x:v>
      </x:c>
      <x:c r="J157" s="27" t="str">
        <x:v>2025</x:v>
      </x:c>
      <x:c r="K157" s="27" t="str">
        <x:v>大语言模型赋能国际中文语用教学的可行性研究</x:v>
      </x:c>
      <x:c r="L157" s="27" t="str">
        <x:v>AI화용능력·거절화행</x:v>
      </x:c>
      <x:c r="M157" s="27" t="str">
        <x:v>unverified</x:v>
      </x:c>
      <x:c r="N157" s="27" t="str">
        <x:v>M0</x:v>
      </x:c>
      <x:c r="O157" s="27" t="str"/>
      <x:c r="P157" s="27"/>
      <x:c r="Q157" s="27"/>
      <x:c r="R157" s="27"/>
      <x:c r="S157" s="27"/>
      <x:c r="T157" s="27"/>
      <x:c r="U157" s="27"/>
      <x:c r="V157" s="27" t="str">
        <x:f>IF(COUNTA(P157:U157)=0,"",SUM(P157:U157))</x:f>
      </x:c>
      <x:c r="W157" s="27" t="str">
        <x:v>02-005</x:v>
      </x:c>
      <x:c r="X157" s="27" t="str">
        <x:v>T1_candidate</x:v>
      </x:c>
      <x:c r="Y157" s="27" t="str">
        <x:v>owned</x:v>
      </x:c>
      <x:c r="Z157" s="27" t="str"/>
      <x:c r="AA157" s="27" t="str"/>
      <x:c r="AB157" s="27" t="str"/>
      <x:c r="AC157" s="27" t="str">
        <x:v>C:\PRAGMA_THESIS_LOCAL\02_문헌\학술문헌\[02-005]_高怡楠 等(2025)_大语言模型赋能国际中文语用教学的可行性研究_AI화용능력·거절화행.pdf</x:v>
      </x:c>
      <x:c r="AD157" s="27" t="str">
        <x:v>2026-08-14T11:19:49</x:v>
      </x:c>
      <x:c r="AE157" s="28" t="n">
        <x:v>1508712</x:v>
      </x:c>
      <x:c r="AF157" s="27" t="str">
        <x:v>ca4bfd07f97cf039d2ccb5f3bc62269cd8740551fff15ac23f6e7c0fd8a54a1f</x:v>
      </x:c>
      <x:c r="AG157" s="27" t="str">
        <x:v>YES</x:v>
      </x:c>
    </x:row>
    <x:row r="158" ht="18" customHeight="1">
      <x:c r="A158" s="27" t="str">
        <x:v>LIT-20260814-157</x:v>
      </x:c>
      <x:c r="B158" s="27" t="str">
        <x:v>02-005</x:v>
      </x:c>
      <x:c r="C158" s="27" t="str">
        <x:v>ko</x:v>
      </x:c>
      <x:c r="D158" s="27" t="str">
        <x:v>[02-005]_高銀美 외(2026)_생성형AI 기반 자동문항생성 실험과 분석 고급중국어 진단평가_자동문항생성·품질분석.pdf</x:v>
      </x:c>
      <x:c r="E158" s="27" t="str">
        <x:v>PDF</x:v>
      </x:c>
      <x:c r="F158" s="27" t="n">
        <x:v>26</x:v>
      </x:c>
      <x:c r="G158" s="27" t="str">
        <x:v>full</x:v>
      </x:c>
      <x:c r="H158" s="27" t="str">
        <x:v>native</x:v>
      </x:c>
      <x:c r="I158" s="27" t="str">
        <x:v>高銀美 외</x:v>
      </x:c>
      <x:c r="J158" s="27" t="str">
        <x:v>2026</x:v>
      </x:c>
      <x:c r="K158" s="27" t="str">
        <x:v>생성형AI 기반 자동문항생성 실험과 분석 고급중국어 진단평가</x:v>
      </x:c>
      <x:c r="L158" s="27" t="str">
        <x:v>자동문항생성·품질분석</x:v>
      </x:c>
      <x:c r="M158" s="27" t="str">
        <x:v>unverified</x:v>
      </x:c>
      <x:c r="N158" s="27" t="str">
        <x:v>M0</x:v>
      </x:c>
      <x:c r="O158" s="27" t="str"/>
      <x:c r="P158" s="27"/>
      <x:c r="Q158" s="27"/>
      <x:c r="R158" s="27"/>
      <x:c r="S158" s="27"/>
      <x:c r="T158" s="27"/>
      <x:c r="U158" s="27"/>
      <x:c r="V158" s="27" t="str">
        <x:f>IF(COUNTA(P158:U158)=0,"",SUM(P158:U158))</x:f>
      </x:c>
      <x:c r="W158" s="27" t="str">
        <x:v>02-005</x:v>
      </x:c>
      <x:c r="X158" s="27" t="str">
        <x:v>T1_candidate</x:v>
      </x:c>
      <x:c r="Y158" s="27" t="str">
        <x:v>owned</x:v>
      </x:c>
      <x:c r="Z158" s="27" t="str"/>
      <x:c r="AA158" s="27" t="str"/>
      <x:c r="AB158" s="27" t="str"/>
      <x:c r="AC158" s="27" t="str">
        <x:v>C:\PRAGMA_THESIS_LOCAL\02_문헌\학술문헌\[02-005]_高銀美 외(2026)_생성형AI 기반 자동문항생성 실험과 분석 고급중국어 진단평가_자동문항생성·품질분석.pdf</x:v>
      </x:c>
      <x:c r="AD158" s="27" t="str">
        <x:v>2026-08-13T20:51:25</x:v>
      </x:c>
      <x:c r="AE158" s="28" t="n">
        <x:v>1168825</x:v>
      </x:c>
      <x:c r="AF158" s="27" t="str">
        <x:v>6198d81edf0e47607e666b79507ea22c85ea1b030a87f80da75aeb811fdcdcc2</x:v>
      </x:c>
      <x:c r="AG158" s="27" t="str"/>
    </x:row>
    <x:row r="159" ht="18" customHeight="1">
      <x:c r="A159" s="27" t="str">
        <x:v>LIT-20260814-158</x:v>
      </x:c>
      <x:c r="B159" s="27" t="str">
        <x:v>02-005</x:v>
      </x:c>
      <x:c r="C159" s="27" t="str">
        <x:v>ko</x:v>
      </x:c>
      <x:c r="D159" s="27" t="str">
        <x:v>[02-005]_강병규(2025)_중국어 학습자 코퍼스 오류 유형 분석과 자동 피드백 모델 연구_AI자동피드백·오류유형.pdf</x:v>
      </x:c>
      <x:c r="E159" s="27" t="str">
        <x:v>PDF</x:v>
      </x:c>
      <x:c r="F159" s="27" t="n">
        <x:v>34</x:v>
      </x:c>
      <x:c r="G159" s="27" t="str">
        <x:v>full</x:v>
      </x:c>
      <x:c r="H159" s="27" t="str">
        <x:v>native</x:v>
      </x:c>
      <x:c r="I159" s="27" t="str">
        <x:v>강병규</x:v>
      </x:c>
      <x:c r="J159" s="27" t="str">
        <x:v>2025</x:v>
      </x:c>
      <x:c r="K159" s="27" t="str">
        <x:v>중국어 학습자 코퍼스 오류 유형 분석과 자동 피드백 모델 연구</x:v>
      </x:c>
      <x:c r="L159" s="27" t="str">
        <x:v>AI자동피드백·오류유형</x:v>
      </x:c>
      <x:c r="M159" s="27" t="str">
        <x:v>unverified</x:v>
      </x:c>
      <x:c r="N159" s="27" t="str">
        <x:v>M0</x:v>
      </x:c>
      <x:c r="O159" s="27" t="str"/>
      <x:c r="P159" s="27"/>
      <x:c r="Q159" s="27"/>
      <x:c r="R159" s="27"/>
      <x:c r="S159" s="27"/>
      <x:c r="T159" s="27"/>
      <x:c r="U159" s="27"/>
      <x:c r="V159" s="27" t="str">
        <x:f>IF(COUNTA(P159:U159)=0,"",SUM(P159:U159))</x:f>
      </x:c>
      <x:c r="W159" s="27" t="str">
        <x:v>02-005</x:v>
      </x:c>
      <x:c r="X159" s="27" t="str">
        <x:v>T1_candidate</x:v>
      </x:c>
      <x:c r="Y159" s="27" t="str">
        <x:v>owned</x:v>
      </x:c>
      <x:c r="Z159" s="27" t="str"/>
      <x:c r="AA159" s="27" t="str"/>
      <x:c r="AB159" s="27" t="str"/>
      <x:c r="AC159" s="27" t="str">
        <x:v>C:\PRAGMA_THESIS_LOCAL\02_문헌\학술문헌\[02-005]_강병규(2025)_중국어 학습자 코퍼스 오류 유형 분석과 자동 피드백 모델 연구_AI자동피드백·오류유형.pdf</x:v>
      </x:c>
      <x:c r="AD159" s="27" t="str">
        <x:v>2026-06-07T15:23:46</x:v>
      </x:c>
      <x:c r="AE159" s="28" t="n">
        <x:v>772708</x:v>
      </x:c>
      <x:c r="AF159" s="27" t="str">
        <x:v>b2021baf630b56a83f04aacd136f7ab7eef7ad5c7ec1e3ff7ed3f5e8355f5b03</x:v>
      </x:c>
      <x:c r="AG159" s="27" t="str"/>
    </x:row>
    <x:row r="160" ht="18" customHeight="1">
      <x:c r="A160" s="27" t="str">
        <x:v>LIT-20260814-159</x:v>
      </x:c>
      <x:c r="B160" s="27" t="str">
        <x:v>02-005</x:v>
      </x:c>
      <x:c r="C160" s="27" t="str">
        <x:v>ko</x:v>
      </x:c>
      <x:c r="D160" s="27" t="str">
        <x:v>[02-005]_마승혜(2025)_AI 기반 한국문학 번역 전략 탐색 Temperature 조절과 프롬프트 설계_프롬프트설계·번역품질.pdf</x:v>
      </x:c>
      <x:c r="E160" s="27" t="str">
        <x:v>PDF</x:v>
      </x:c>
      <x:c r="F160" s="27" t="n">
        <x:v>30</x:v>
      </x:c>
      <x:c r="G160" s="27" t="str">
        <x:v>full</x:v>
      </x:c>
      <x:c r="H160" s="27" t="str">
        <x:v>native</x:v>
      </x:c>
      <x:c r="I160" s="27" t="str">
        <x:v>마승혜</x:v>
      </x:c>
      <x:c r="J160" s="27" t="str">
        <x:v>2025</x:v>
      </x:c>
      <x:c r="K160" s="27" t="str">
        <x:v>AI 기반 한국문학 번역 전략 탐색 Temperature 조절과 프롬프트 설계</x:v>
      </x:c>
      <x:c r="L160" s="27" t="str">
        <x:v>프롬프트설계·번역품질</x:v>
      </x:c>
      <x:c r="M160" s="27" t="str">
        <x:v>unverified</x:v>
      </x:c>
      <x:c r="N160" s="27" t="str">
        <x:v>M0</x:v>
      </x:c>
      <x:c r="O160" s="27" t="str"/>
      <x:c r="P160" s="27"/>
      <x:c r="Q160" s="27"/>
      <x:c r="R160" s="27"/>
      <x:c r="S160" s="27"/>
      <x:c r="T160" s="27"/>
      <x:c r="U160" s="27"/>
      <x:c r="V160" s="27" t="str">
        <x:f>IF(COUNTA(P160:U160)=0,"",SUM(P160:U160))</x:f>
      </x:c>
      <x:c r="W160" s="27" t="str">
        <x:v>02-005</x:v>
      </x:c>
      <x:c r="X160" s="27" t="str">
        <x:v>T1_candidate</x:v>
      </x:c>
      <x:c r="Y160" s="27" t="str">
        <x:v>owned</x:v>
      </x:c>
      <x:c r="Z160" s="27" t="str"/>
      <x:c r="AA160" s="27" t="str"/>
      <x:c r="AB160" s="27" t="str"/>
      <x:c r="AC160" s="27" t="str">
        <x:v>C:\PRAGMA_THESIS_LOCAL\02_문헌\학술문헌\[02-005]_마승혜(2025)_AI 기반 한국문학 번역 전략 탐색 Temperature 조절과 프롬프트 설계_프롬프트설계·번역품질.pdf</x:v>
      </x:c>
      <x:c r="AD160" s="27" t="str">
        <x:v>2026-08-13T21:02:46</x:v>
      </x:c>
      <x:c r="AE160" s="28" t="n">
        <x:v>848900</x:v>
      </x:c>
      <x:c r="AF160" s="27" t="str">
        <x:v>5fa5f15ab5c77d50f65734dc9ab48866b3d28b95eee9d3ee4afd7d8b459fcee7</x:v>
      </x:c>
      <x:c r="AG160" s="27" t="str"/>
    </x:row>
    <x:row r="161" ht="18" customHeight="1">
      <x:c r="A161" s="27" t="str">
        <x:v>LIT-20260814-160</x:v>
      </x:c>
      <x:c r="B161" s="27" t="str">
        <x:v>02-005</x:v>
      </x:c>
      <x:c r="C161" s="27" t="str">
        <x:v>ko</x:v>
      </x:c>
      <x:c r="D161" s="27" t="str">
        <x:v>[02-005]_박민준_인터랙티브 중국어 관용어 학습 AI 플랫폼 LexiChinese의 설계와 활용_AI플랫폼·관용표현.pdf</x:v>
      </x:c>
      <x:c r="E161" s="27" t="str">
        <x:v>PDF</x:v>
      </x:c>
      <x:c r="F161" s="27" t="n">
        <x:v>26</x:v>
      </x:c>
      <x:c r="G161" s="27" t="str">
        <x:v>full</x:v>
      </x:c>
      <x:c r="H161" s="27" t="str">
        <x:v>native</x:v>
      </x:c>
      <x:c r="I161" s="27" t="str">
        <x:v>박민준</x:v>
      </x:c>
      <x:c r="J161" s="27" t="str"/>
      <x:c r="K161" s="27" t="str">
        <x:v>인터랙티브 중국어 관용어 학습 AI 플랫폼 LexiChinese의 설계와 활용</x:v>
      </x:c>
      <x:c r="L161" s="27" t="str">
        <x:v>AI플랫폼·관용표현</x:v>
      </x:c>
      <x:c r="M161" s="27" t="str">
        <x:v>unverified</x:v>
      </x:c>
      <x:c r="N161" s="27" t="str">
        <x:v>M0</x:v>
      </x:c>
      <x:c r="O161" s="27" t="str"/>
      <x:c r="P161" s="27"/>
      <x:c r="Q161" s="27"/>
      <x:c r="R161" s="27"/>
      <x:c r="S161" s="27"/>
      <x:c r="T161" s="27"/>
      <x:c r="U161" s="27"/>
      <x:c r="V161" s="27" t="str">
        <x:f>IF(COUNTA(P161:U161)=0,"",SUM(P161:U161))</x:f>
      </x:c>
      <x:c r="W161" s="27" t="str">
        <x:v>02-005</x:v>
      </x:c>
      <x:c r="X161" s="27" t="str">
        <x:v>T1_candidate</x:v>
      </x:c>
      <x:c r="Y161" s="27" t="str">
        <x:v>owned</x:v>
      </x:c>
      <x:c r="Z161" s="27" t="str">
        <x:v>year_unverified</x:v>
      </x:c>
      <x:c r="AA161" s="27" t="str"/>
      <x:c r="AB161" s="27" t="str"/>
      <x:c r="AC161" s="27" t="str">
        <x:v>C:\PRAGMA_THESIS_LOCAL\02_문헌\학술문헌\[02-005]_박민준_인터랙티브 중국어 관용어 학습 AI 플랫폼 LexiChinese의 설계와 활용_AI플랫폼·관용표현.pdf</x:v>
      </x:c>
      <x:c r="AD161" s="27" t="str">
        <x:v>2026-06-09T14:11:41</x:v>
      </x:c>
      <x:c r="AE161" s="28" t="n">
        <x:v>3804534</x:v>
      </x:c>
      <x:c r="AF161" s="27" t="str">
        <x:v>7a9d93b5c3587bb3d4557b6ca647857421c19360f9a3ff003ac649b0c13f52cd</x:v>
      </x:c>
      <x:c r="AG161" s="27" t="str"/>
    </x:row>
    <x:row r="162" ht="18" customHeight="1">
      <x:c r="A162" s="27" t="str">
        <x:v>LIT-20260814-161</x:v>
      </x:c>
      <x:c r="B162" s="27" t="str">
        <x:v>02-005</x:v>
      </x:c>
      <x:c r="C162" s="27" t="str">
        <x:v>ko</x:v>
      </x:c>
      <x:c r="D162" s="27" t="str">
        <x:v>[02-005]_박서윤 외(2025)_LLM의 한국어 간접 화행 이해 능력 평가 지시 화행 중심_LLM화행이해·간접화행.pdf</x:v>
      </x:c>
      <x:c r="E162" s="27" t="str">
        <x:v>PDF</x:v>
      </x:c>
      <x:c r="F162" s="27" t="n">
        <x:v>25</x:v>
      </x:c>
      <x:c r="G162" s="27" t="str">
        <x:v>full</x:v>
      </x:c>
      <x:c r="H162" s="27" t="str">
        <x:v>native</x:v>
      </x:c>
      <x:c r="I162" s="27" t="str">
        <x:v>박서윤 외</x:v>
      </x:c>
      <x:c r="J162" s="27" t="str">
        <x:v>2025</x:v>
      </x:c>
      <x:c r="K162" s="27" t="str">
        <x:v>LLM의 한국어 간접 화행 이해 능력 평가 지시 화행 중심</x:v>
      </x:c>
      <x:c r="L162" s="27" t="str">
        <x:v>LLM화행이해·간접화행</x:v>
      </x:c>
      <x:c r="M162" s="27" t="str">
        <x:v>unverified</x:v>
      </x:c>
      <x:c r="N162" s="27" t="str">
        <x:v>M0</x:v>
      </x:c>
      <x:c r="O162" s="27" t="str"/>
      <x:c r="P162" s="27"/>
      <x:c r="Q162" s="27"/>
      <x:c r="R162" s="27"/>
      <x:c r="S162" s="27"/>
      <x:c r="T162" s="27"/>
      <x:c r="U162" s="27"/>
      <x:c r="V162" s="27" t="str">
        <x:f>IF(COUNTA(P162:U162)=0,"",SUM(P162:U162))</x:f>
      </x:c>
      <x:c r="W162" s="27" t="str">
        <x:v>02-005</x:v>
      </x:c>
      <x:c r="X162" s="27" t="str">
        <x:v>T1_candidate</x:v>
      </x:c>
      <x:c r="Y162" s="27" t="str">
        <x:v>owned</x:v>
      </x:c>
      <x:c r="Z162" s="27" t="str"/>
      <x:c r="AA162" s="27" t="str"/>
      <x:c r="AB162" s="27" t="str"/>
      <x:c r="AC162" s="27" t="str">
        <x:v>C:\PRAGMA_THESIS_LOCAL\02_문헌\학술문헌\[02-005]_박서윤 외(2025)_LLM의 한국어 간접 화행 이해 능력 평가 지시 화행 중심_LLM화행이해·간접화행.pdf</x:v>
      </x:c>
      <x:c r="AD162" s="27" t="str">
        <x:v>2026-08-13T21:22:38</x:v>
      </x:c>
      <x:c r="AE162" s="28" t="n">
        <x:v>990756</x:v>
      </x:c>
      <x:c r="AF162" s="27" t="str">
        <x:v>25c620d14b6830470414401cc15efdd87592b0879db76fc3e17e488cffd59df5</x:v>
      </x:c>
      <x:c r="AG162" s="27" t="str"/>
    </x:row>
    <x:row r="163" ht="18" customHeight="1">
      <x:c r="A163" s="27" t="str">
        <x:v>LIT-20260814-162</x:v>
      </x:c>
      <x:c r="B163" s="27" t="str">
        <x:v>02-005</x:v>
      </x:c>
      <x:c r="C163" s="27" t="str">
        <x:v>ko</x:v>
      </x:c>
      <x:c r="D163" s="27" t="str">
        <x:v>[02-005]_백영경(2021)_한국어 화용 교육 보조 도구로서의 챗봇 개발 연구 거절 화행 중심_챗봇개발·거절화행.pdf</x:v>
      </x:c>
      <x:c r="E163" s="27" t="str">
        <x:v>PDF</x:v>
      </x:c>
      <x:c r="F163" s="27" t="n">
        <x:v>27</x:v>
      </x:c>
      <x:c r="G163" s="27" t="str">
        <x:v>full</x:v>
      </x:c>
      <x:c r="H163" s="27" t="str">
        <x:v>native</x:v>
      </x:c>
      <x:c r="I163" s="27" t="str">
        <x:v>백영경</x:v>
      </x:c>
      <x:c r="J163" s="27" t="str">
        <x:v>2021</x:v>
      </x:c>
      <x:c r="K163" s="27" t="str">
        <x:v>한국어 화용 교육 보조 도구로서의 챗봇 개발 연구 거절 화행 중심</x:v>
      </x:c>
      <x:c r="L163" s="27" t="str">
        <x:v>챗봇개발·거절화행</x:v>
      </x:c>
      <x:c r="M163" s="27" t="str">
        <x:v>unverified</x:v>
      </x:c>
      <x:c r="N163" s="27" t="str">
        <x:v>M0</x:v>
      </x:c>
      <x:c r="O163" s="27" t="str"/>
      <x:c r="P163" s="27"/>
      <x:c r="Q163" s="27"/>
      <x:c r="R163" s="27"/>
      <x:c r="S163" s="27"/>
      <x:c r="T163" s="27"/>
      <x:c r="U163" s="27"/>
      <x:c r="V163" s="27" t="str">
        <x:f>IF(COUNTA(P163:U163)=0,"",SUM(P163:U163))</x:f>
      </x:c>
      <x:c r="W163" s="27" t="str">
        <x:v>02-005</x:v>
      </x:c>
      <x:c r="X163" s="27" t="str">
        <x:v>T1_candidate</x:v>
      </x:c>
      <x:c r="Y163" s="27" t="str">
        <x:v>owned</x:v>
      </x:c>
      <x:c r="Z163" s="27" t="str"/>
      <x:c r="AA163" s="27" t="str"/>
      <x:c r="AB163" s="27" t="str"/>
      <x:c r="AC163" s="27" t="str">
        <x:v>C:\PRAGMA_THESIS_LOCAL\02_문헌\학술문헌\[02-005]_백영경(2021)_한국어 화용 교육 보조 도구로서의 챗봇 개발 연구 거절 화행 중심_챗봇개발·거절화행.pdf</x:v>
      </x:c>
      <x:c r="AD163" s="27" t="str">
        <x:v>2026-07-18T10:54:54</x:v>
      </x:c>
      <x:c r="AE163" s="28" t="n">
        <x:v>1737683</x:v>
      </x:c>
      <x:c r="AF163" s="27" t="str">
        <x:v>4f789a5edd23792c0c9a070afce67f9e9298e3c337b96e21972d174fdcb9069a</x:v>
      </x:c>
      <x:c r="AG163" s="27" t="str"/>
    </x:row>
    <x:row r="164" ht="18" customHeight="1">
      <x:c r="A164" s="27" t="str">
        <x:v>LIT-20260814-163</x:v>
      </x:c>
      <x:c r="B164" s="27" t="str">
        <x:v>03-001</x:v>
      </x:c>
      <x:c r="C164" s="27" t="str">
        <x:v>en</x:v>
      </x:c>
      <x:c r="D164" s="27" t="str">
        <x:v>[03-001]_Ellis &amp; Levy(2010)_A Guide for Novice Researchers Design and Development Research Methods_개발연구·방법론.pdf</x:v>
      </x:c>
      <x:c r="E164" s="27" t="str">
        <x:v>PDF</x:v>
      </x:c>
      <x:c r="F164" s="27" t="n">
        <x:v>12</x:v>
      </x:c>
      <x:c r="G164" s="27" t="str">
        <x:v>full</x:v>
      </x:c>
      <x:c r="H164" s="27" t="str">
        <x:v>native</x:v>
      </x:c>
      <x:c r="I164" s="27" t="str">
        <x:v>Ellis &amp; Levy</x:v>
      </x:c>
      <x:c r="J164" s="27" t="str">
        <x:v>2010</x:v>
      </x:c>
      <x:c r="K164" s="27" t="str">
        <x:v>A Guide for Novice Researchers Design and Development Research Methods</x:v>
      </x:c>
      <x:c r="L164" s="27" t="str">
        <x:v>개발연구·방법론</x:v>
      </x:c>
      <x:c r="M164" s="27" t="str">
        <x:v>conceptual_method_guide</x:v>
      </x:c>
      <x:c r="N164" s="27" t="str">
        <x:v>M1</x:v>
      </x:c>
      <x:c r="O164" s="27" t="str">
        <x:v>B</x:v>
      </x:c>
      <x:c r="P164" s="27" t="n">
        <x:v>3</x:v>
      </x:c>
      <x:c r="Q164" s="27" t="n">
        <x:v>2</x:v>
      </x:c>
      <x:c r="R164" s="27" t="n">
        <x:v>2</x:v>
      </x:c>
      <x:c r="S164" s="27" t="n">
        <x:v>1</x:v>
      </x:c>
      <x:c r="T164" s="27" t="n">
        <x:v>3</x:v>
      </x:c>
      <x:c r="U164" s="27" t="n">
        <x:v>1</x:v>
      </x:c>
      <x:c r="V164" s="27" t="n">
        <x:f>IF(COUNTA(P164:U164)=0,"",SUM(P164:U164))</x:f>
        <x:v>12</x:v>
      </x:c>
      <x:c r="W164" s="27" t="str">
        <x:v>03-001</x:v>
      </x:c>
      <x:c r="X164" s="27" t="str">
        <x:v>T1</x:v>
      </x:c>
      <x:c r="Y164" s="27" t="str">
        <x:v>quick_review</x:v>
      </x:c>
      <x:c r="Z164" s="27" t="str"/>
      <x:c r="AA164" s="27" t="str">
        <x:v>DDR 6단계 개론. 학회 프로시딩·초심자용이므로 Richey &amp; Klein·van den Akker 원전 보강 필요</x:v>
      </x:c>
      <x:c r="AB164" s="27" t="str"/>
      <x:c r="AC164" s="27" t="str">
        <x:v>C:\PRAGMA_THESIS_LOCAL\02_문헌\학술문헌\[03-001]_Ellis &amp; Levy(2010)_A Guide for Novice Researchers Design and Development Research Methods_개발연구·방법론.pdf</x:v>
      </x:c>
      <x:c r="AD164" s="27" t="str">
        <x:v>2026-08-10T20:08:31</x:v>
      </x:c>
      <x:c r="AE164" s="28" t="n">
        <x:v>373263</x:v>
      </x:c>
      <x:c r="AF164" s="27" t="str">
        <x:v>4960f52ffa2a961ccd6fc0d38bfcae7aeead6d77834bc8c0c79ae8ba94e0f7ed</x:v>
      </x:c>
      <x:c r="AG164" s="27" t="str">
        <x:v>CH3_M1</x:v>
      </x:c>
    </x:row>
    <x:row r="165" ht="18" customHeight="1">
      <x:c r="A165" s="27" t="str">
        <x:v>LIT-20260814-164</x:v>
      </x:c>
      <x:c r="B165" s="27" t="str">
        <x:v>03-003</x:v>
      </x:c>
      <x:c r="C165" s="27" t="str">
        <x:v>en</x:v>
      </x:c>
      <x:c r="D165" s="27" t="str">
        <x:v>[03-003]_Li &amp; Taguchi(2026)_Contextual variation of internal and external modifications in L2 Chinese requests_완화장치·권력부담숙달도.pdf</x:v>
      </x:c>
      <x:c r="E165" s="27" t="str">
        <x:v>PDF</x:v>
      </x:c>
      <x:c r="F165" s="27" t="n">
        <x:v>20</x:v>
      </x:c>
      <x:c r="G165" s="27" t="str">
        <x:v>full</x:v>
      </x:c>
      <x:c r="H165" s="27" t="str">
        <x:v>native</x:v>
      </x:c>
      <x:c r="I165" s="27" t="str">
        <x:v>Li &amp; Taguchi</x:v>
      </x:c>
      <x:c r="J165" s="27" t="str">
        <x:v>2026</x:v>
      </x:c>
      <x:c r="K165" s="27" t="str">
        <x:v>Contextual variation of internal and external modifications in L2 Chinese requests</x:v>
      </x:c>
      <x:c r="L165" s="27" t="str">
        <x:v>완화장치·권력부담숙달도</x:v>
      </x:c>
      <x:c r="M165" s="27" t="str">
        <x:v>empirical_article</x:v>
      </x:c>
      <x:c r="N165" s="27" t="str">
        <x:v>M1</x:v>
      </x:c>
      <x:c r="O165" s="27" t="str">
        <x:v>A</x:v>
      </x:c>
      <x:c r="P165" s="27" t="n">
        <x:v>4</x:v>
      </x:c>
      <x:c r="Q165" s="27" t="n">
        <x:v>3</x:v>
      </x:c>
      <x:c r="R165" s="27" t="n">
        <x:v>3</x:v>
      </x:c>
      <x:c r="S165" s="27" t="n">
        <x:v>3</x:v>
      </x:c>
      <x:c r="T165" s="27" t="n">
        <x:v>3</x:v>
      </x:c>
      <x:c r="U165" s="27" t="n">
        <x:v>2</x:v>
      </x:c>
      <x:c r="V165" s="27" t="n">
        <x:f>IF(COUNTA(P165:U165)=0,"",SUM(P165:U165))</x:f>
        <x:v>18</x:v>
      </x:c>
      <x:c r="W165" s="27" t="str">
        <x:v>03-003; 02-004</x:v>
      </x:c>
      <x:c r="X165" s="27" t="str">
        <x:v>T1</x:v>
      </x:c>
      <x:c r="Y165" s="27" t="str">
        <x:v>quick_review</x:v>
      </x:c>
      <x:c r="Z165" s="27" t="str"/>
      <x:c r="AA165" s="27" t="str">
        <x:v>완화장치 유형·위치·상황민감성의 직접 근거. 적절성 임계값이나 통번역 수행으로 직접 일반화 금지</x:v>
      </x:c>
      <x:c r="AB165" s="27" t="str"/>
      <x:c r="AC165" s="27" t="str">
        <x:v>C:\PRAGMA_THESIS_LOCAL\02_문헌\학술문헌\[03-003]_Li &amp; Taguchi(2026)_Contextual variation of internal and external modifications in L2 Chinese requests_완화장치·권력부담숙달도.pdf</x:v>
      </x:c>
      <x:c r="AD165" s="27" t="str">
        <x:v>2026-04-22T02:54:08</x:v>
      </x:c>
      <x:c r="AE165" s="28" t="n">
        <x:v>681417</x:v>
      </x:c>
      <x:c r="AF165" s="27" t="str">
        <x:v>c59768361220259ff27639d8b9abe07b7cf2734fc14648d2763a2a70f91f8e06</x:v>
      </x:c>
      <x:c r="AG165" s="27" t="str">
        <x:v>CH3_M1</x:v>
      </x:c>
    </x:row>
    <x:row r="166" ht="18" customHeight="1">
      <x:c r="A166" s="27" t="str">
        <x:v>LIT-20260814-165</x:v>
      </x:c>
      <x:c r="B166" s="27" t="str">
        <x:v>03-004</x:v>
      </x:c>
      <x:c r="C166" s="27" t="str">
        <x:v>ko</x:v>
      </x:c>
      <x:c r="D166" s="27" t="str">
        <x:v>[03-004]_오현주(2026)_AI 생성 중국어 비즈니스 담화 콘텐츠의 공손 표현과 비언어 표현 조건화 효과_AI생성품질·조건화효과.pdf</x:v>
      </x:c>
      <x:c r="E166" s="27" t="str">
        <x:v>PDF</x:v>
      </x:c>
      <x:c r="F166" s="27" t="n">
        <x:v>28</x:v>
      </x:c>
      <x:c r="G166" s="27" t="str">
        <x:v>full</x:v>
      </x:c>
      <x:c r="H166" s="27" t="str">
        <x:v>native</x:v>
      </x:c>
      <x:c r="I166" s="27" t="str">
        <x:v>오현주</x:v>
      </x:c>
      <x:c r="J166" s="27" t="str">
        <x:v>2026</x:v>
      </x:c>
      <x:c r="K166" s="27" t="str">
        <x:v>AI 생성 중국어 비즈니스 담화 콘텐츠의 공손 표현과 비언어 표현 조건화 효과</x:v>
      </x:c>
      <x:c r="L166" s="27" t="str">
        <x:v>AI생성품질·조건화효과</x:v>
      </x:c>
      <x:c r="M166" s="27" t="str">
        <x:v>output_comparison_case</x:v>
      </x:c>
      <x:c r="N166" s="27" t="str">
        <x:v>M1</x:v>
      </x:c>
      <x:c r="O166" s="27" t="str">
        <x:v>B</x:v>
      </x:c>
      <x:c r="P166" s="27" t="n">
        <x:v>3</x:v>
      </x:c>
      <x:c r="Q166" s="27" t="n">
        <x:v>1</x:v>
      </x:c>
      <x:c r="R166" s="27" t="n">
        <x:v>1</x:v>
      </x:c>
      <x:c r="S166" s="27" t="n">
        <x:v>3</x:v>
      </x:c>
      <x:c r="T166" s="27" t="n">
        <x:v>2</x:v>
      </x:c>
      <x:c r="U166" s="27" t="n">
        <x:v>2</x:v>
      </x:c>
      <x:c r="V166" s="27" t="n">
        <x:f>IF(COUNTA(P166:U166)=0,"",SUM(P166:U166))</x:f>
        <x:v>12</x:v>
      </x:c>
      <x:c r="W166" s="27" t="str">
        <x:v>03-004</x:v>
      </x:c>
      <x:c r="X166" s="27" t="str">
        <x:v>T1</x:v>
      </x:c>
      <x:c r="Y166" s="27" t="str">
        <x:v>quick_review</x:v>
      </x:c>
      <x:c r="Z166" s="27" t="str"/>
      <x:c r="AA166" s="27" t="str">
        <x:v>실담화 조건자료가 생성 구조를 바꾼 사례. 반복생성·버전·독립코딩·교육효과 검증은 없음</x:v>
      </x:c>
      <x:c r="AB166" s="27" t="str"/>
      <x:c r="AC166" s="27" t="str">
        <x:v>C:\PRAGMA_THESIS_LOCAL\02_문헌\학술문헌\[03-004]_오현주(2026)_AI 생성 중국어 비즈니스 담화 콘텐츠의 공손 표현과 비언어 표현 조건화 효과_AI생성품질·조건화효과.pdf</x:v>
      </x:c>
      <x:c r="AD166" s="27" t="str">
        <x:v>2026-08-13T20:23:55</x:v>
      </x:c>
      <x:c r="AE166" s="28" t="n">
        <x:v>424698</x:v>
      </x:c>
      <x:c r="AF166" s="27" t="str">
        <x:v>7540da20b33cf426a980ed0da79965f9a501d925da3ab8800a2ffbf2908f5086</x:v>
      </x:c>
      <x:c r="AG166" s="27" t="str">
        <x:v>CH3_M1</x:v>
      </x:c>
    </x:row>
    <x:row r="167" ht="18" customHeight="1">
      <x:c r="A167" s="27" t="str">
        <x:v>LIT-20260814-166</x:v>
      </x:c>
      <x:c r="B167" s="27" t="str">
        <x:v>03-004</x:v>
      </x:c>
      <x:c r="C167" s="27" t="str">
        <x:v>ko</x:v>
      </x:c>
      <x:c r="D167" s="27" t="str">
        <x:v>[03-004]_진실희(2024)_통역 교육 콘텐츠 개발을 위한 챗GPT 프롬프트 설계_생성계약·프롬프트설계.pdf</x:v>
      </x:c>
      <x:c r="E167" s="27" t="str">
        <x:v>PDF</x:v>
      </x:c>
      <x:c r="F167" s="27" t="n">
        <x:v>28</x:v>
      </x:c>
      <x:c r="G167" s="27" t="str">
        <x:v>full</x:v>
      </x:c>
      <x:c r="H167" s="27" t="str">
        <x:v>native</x:v>
      </x:c>
      <x:c r="I167" s="27" t="str">
        <x:v>진실희</x:v>
      </x:c>
      <x:c r="J167" s="27" t="str">
        <x:v>2024</x:v>
      </x:c>
      <x:c r="K167" s="27" t="str">
        <x:v>통역 교육 콘텐츠 개발을 위한 챗GPT 프롬프트 설계</x:v>
      </x:c>
      <x:c r="L167" s="27" t="str">
        <x:v>생성계약·프롬프트설계</x:v>
      </x:c>
      <x:c r="M167" s="27" t="str">
        <x:v>design_case_guide</x:v>
      </x:c>
      <x:c r="N167" s="27" t="str">
        <x:v>M1</x:v>
      </x:c>
      <x:c r="O167" s="27" t="str">
        <x:v>B</x:v>
      </x:c>
      <x:c r="P167" s="27" t="n">
        <x:v>3</x:v>
      </x:c>
      <x:c r="Q167" s="27" t="n">
        <x:v>2</x:v>
      </x:c>
      <x:c r="R167" s="27" t="n">
        <x:v>1</x:v>
      </x:c>
      <x:c r="S167" s="27" t="n">
        <x:v>3</x:v>
      </x:c>
      <x:c r="T167" s="27" t="n">
        <x:v>2</x:v>
      </x:c>
      <x:c r="U167" s="27" t="n">
        <x:v>1</x:v>
      </x:c>
      <x:c r="V167" s="27" t="n">
        <x:f>IF(COUNTA(P167:U167)=0,"",SUM(P167:U167))</x:f>
        <x:v>12</x:v>
      </x:c>
      <x:c r="W167" s="27" t="str">
        <x:v>03-004</x:v>
      </x:c>
      <x:c r="X167" s="27" t="str">
        <x:v>T1</x:v>
      </x:c>
      <x:c r="Y167" s="27" t="str">
        <x:v>quick_review</x:v>
      </x:c>
      <x:c r="Z167" s="27" t="str"/>
      <x:c r="AA167" s="27" t="str">
        <x:v>CORE와 제작/편집 구분의 설계 사례. 품질·사실성·화용 적절성·교육효과는 검증되지 않음</x:v>
      </x:c>
      <x:c r="AB167" s="27" t="str"/>
      <x:c r="AC167" s="27" t="str">
        <x:v>C:\PRAGMA_THESIS_LOCAL\02_문헌\학술문헌\[03-004]_진실희(2024)_통역 교육 콘텐츠 개발을 위한 챗GPT 프롬프트 설계_생성계약·프롬프트설계.pdf</x:v>
      </x:c>
      <x:c r="AD167" s="27" t="str">
        <x:v>2026-03-04T17:06:43</x:v>
      </x:c>
      <x:c r="AE167" s="28" t="n">
        <x:v>997310</x:v>
      </x:c>
      <x:c r="AF167" s="27" t="str">
        <x:v>041e461d8d0d43e44da07fbde4bf70c754ea1a921ea8a7ac44480324d86a8b53</x:v>
      </x:c>
      <x:c r="AG167" s="27" t="str">
        <x:v>CH3_M1</x:v>
      </x:c>
    </x:row>
    <x:row r="168" ht="18" customHeight="1">
      <x:c r="A168" s="27" t="str">
        <x:v>LIT-20260814-167</x:v>
      </x:c>
      <x:c r="B168" s="27" t="str">
        <x:v>03-004</x:v>
      </x:c>
      <x:c r="C168" s="27" t="str">
        <x:v>ko</x:v>
      </x:c>
      <x:c r="D168" s="27" t="str">
        <x:v>[03-004]_박민준(2026)_살아있는 중국어 교재를 만드는 LLM 소셜미디어 텍스트의 교육적 변용_LLM교재화·교사큐레이션.pdf</x:v>
      </x:c>
      <x:c r="E168" s="27" t="str">
        <x:v>PDF</x:v>
      </x:c>
      <x:c r="F168" s="27" t="n">
        <x:v>26</x:v>
      </x:c>
      <x:c r="G168" s="27" t="str">
        <x:v>full</x:v>
      </x:c>
      <x:c r="H168" s="27" t="str">
        <x:v>native</x:v>
      </x:c>
      <x:c r="I168" s="27" t="str">
        <x:v>박민준</x:v>
      </x:c>
      <x:c r="J168" s="27" t="str">
        <x:v>2026</x:v>
      </x:c>
      <x:c r="K168" s="27" t="str">
        <x:v>살아있는 중국어 교재를 만드는 LLM: 소셜미디어 텍스트의 교육적 변용</x:v>
      </x:c>
      <x:c r="L168" s="27" t="str">
        <x:v>LLM교재화·소셜미디어</x:v>
      </x:c>
      <x:c r="M168" s="27" t="str">
        <x:v>platform_case_report</x:v>
      </x:c>
      <x:c r="N168" s="27" t="str">
        <x:v>M1</x:v>
      </x:c>
      <x:c r="O168" s="27" t="str">
        <x:v>B</x:v>
      </x:c>
      <x:c r="P168" s="27" t="n">
        <x:v>2</x:v>
      </x:c>
      <x:c r="Q168" s="27" t="n">
        <x:v>2</x:v>
      </x:c>
      <x:c r="R168" s="27" t="n">
        <x:v>1</x:v>
      </x:c>
      <x:c r="S168" s="27" t="n">
        <x:v>3</x:v>
      </x:c>
      <x:c r="T168" s="27" t="n">
        <x:v>2</x:v>
      </x:c>
      <x:c r="U168" s="27" t="n">
        <x:v>2</x:v>
      </x:c>
      <x:c r="V168" s="27" t="n">
        <x:f>IF(COUNTA(P168:U168)=0,"",SUM(P168:U168))</x:f>
        <x:v>12</x:v>
      </x:c>
      <x:c r="W168" s="27" t="str">
        <x:v>03-004</x:v>
      </x:c>
      <x:c r="X168" s="27" t="str">
        <x:v>T1</x:v>
      </x:c>
      <x:c r="Y168" s="27" t="str">
        <x:v>quick_review</x:v>
      </x:c>
      <x:c r="Z168" s="27" t="str"/>
      <x:c r="AA168" s="27" t="str">
        <x:v>AI 초안→교사 큐레이션 사례. 환각·문화맥락 손실·지식시차 확인. [03-004]로 배치 완료</x:v>
      </x:c>
      <x:c r="AB168" s="27" t="str"/>
      <x:c r="AC168" s="27" t="str">
        <x:v>C:\PRAGMA_THESIS_LOCAL\02_문헌\학술문헌\[03-004]_박민준(2026)_살아있는 중국어 교재를 만드는 LLM 소셜미디어 텍스트의 교육적 변용_LLM교재화·교사큐레이션.pdf</x:v>
      </x:c>
      <x:c r="AD168" s="27" t="str">
        <x:v>2026-08-14T17:59:28</x:v>
      </x:c>
      <x:c r="AE168" s="28" t="n">
        <x:v>675711</x:v>
      </x:c>
      <x:c r="AF168" s="27" t="str">
        <x:v>981abff2564359a65431aa465e2f075ec97e6ad1de6ca579e0f4b6576ccc1940</x:v>
      </x:c>
      <x:c r="AG168" s="27" t="str">
        <x:v>CH3_M1</x:v>
      </x:c>
    </x:row>
  </x:sheetData>
  <x:conditionalFormatting sqref="H2:H168">
    <x:cfRule type="containsText" dxfId="0" priority="1" operator="containsText" text="ocr_needed"/>
  </x:conditionalFormatting>
  <x:conditionalFormatting sqref="B2:B168">
    <x:cfRule type="containsBlanks" dxfId="1" priority="2"/>
  </x:conditionalFormatting>
  <x:conditionalFormatting sqref="AG2:AG168">
    <x:cfRule type="containsText" dxfId="2" priority="3" operator="containsText" text="YES"/>
  </x:conditionalFormatting>
  <x:dataValidations count="4">
    <x:dataValidation type="list" sqref="N2:N168">
      <x:formula1>"M0,M1,M2,M3"</x:formula1>
    </x:dataValidation>
    <x:dataValidation type="list" sqref="O2:O168">
      <x:formula1>"A,B,C,X"</x:formula1>
    </x:dataValidation>
    <x:dataValidation type="list" sqref="X2:X168">
      <x:formula1>"T0,T1,T2,T3,T1_candidate"</x:formula1>
    </x:dataValidation>
    <x:dataValidation type="list" sqref="Y2:Y168">
      <x:formula1>"owned,quick_review,relevant,source_verified,citation_ready"</x:formula1>
    </x:dataValidation>
  </x:dataValidations>
  <x:pageMargins left="0.7" right="0.7" top="0.75" bottom="0.75" header="0.3" footer="0.3"/>
  <x:tableParts count="1">
    <x:tablePart xmlns:r="http://schemas.openxmlformats.org/officeDocument/2006/relationships" r:id="Re6a5189f682445f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9" hidden="0" customWidth="1"/>
    <x:col min="2" max="2" width="9" hidden="0" customWidth="1"/>
    <x:col min="3" max="3" width="68" hidden="0" customWidth="1"/>
    <x:col min="4" max="4" width="25" hidden="0" customWidth="1"/>
    <x:col min="5" max="5" width="10" hidden="0" customWidth="1"/>
    <x:col min="6" max="6" width="15" hidden="0" customWidth="1"/>
    <x:col min="7" max="7" width="18" hidden="0" customWidth="1"/>
    <x:col min="8" max="8" width="34" hidden="0" customWidth="1"/>
  </x:cols>
  <x:sheetData>
    <x:row r="1">
      <x:c r="A1" s="3" t="str">
        <x:v>대표 6편 캘리브레이션</x:v>
      </x:c>
      <x:c r="B1" s="3" t="str">
        <x:v>대표 6편 캘리브레이션</x:v>
      </x:c>
      <x:c r="C1" s="3" t="str">
        <x:v>대표 6편 캘리브레이션</x:v>
      </x:c>
      <x:c r="D1" s="3" t="str">
        <x:v>대표 6편 캘리브레이션</x:v>
      </x:c>
      <x:c r="E1" s="3" t="str">
        <x:v>대표 6편 캘리브레이션</x:v>
      </x:c>
      <x:c r="F1" s="3" t="str">
        <x:v>대표 6편 캘리브레이션</x:v>
      </x:c>
      <x:c r="G1" s="3" t="str">
        <x:v>대표 6편 캘리브레이션</x:v>
      </x:c>
      <x:c r="H1" s="3" t="str">
        <x:v>대표 6편 캘리브레이션</x:v>
      </x:c>
    </x:row>
    <x:row r="2">
      <x:c r="A2" s="3" t="str">
        <x:v>대표 6편 캘리브레이션</x:v>
      </x:c>
      <x:c r="B2" s="3" t="str">
        <x:v>대표 6편 캘리브레이션</x:v>
      </x:c>
      <x:c r="C2" s="3" t="str">
        <x:v>대표 6편 캘리브레이션</x:v>
      </x:c>
      <x:c r="D2" s="3" t="str">
        <x:v>대표 6편 캘리브레이션</x:v>
      </x:c>
      <x:c r="E2" s="3" t="str">
        <x:v>대표 6편 캘리브레이션</x:v>
      </x:c>
      <x:c r="F2" s="3" t="str">
        <x:v>대표 6편 캘리브레이션</x:v>
      </x:c>
      <x:c r="G2" s="3" t="str">
        <x:v>대표 6편 캘리브레이션</x:v>
      </x:c>
      <x:c r="H2" s="3" t="str">
        <x:v>대표 6편 캘리브레이션</x:v>
      </x:c>
    </x:row>
    <x:row r="4" ht="36" customHeight="1">
      <x:c r="A4" s="10" t="str">
        <x:v>순번</x:v>
      </x:c>
      <x:c r="B4" s="18" t="str">
        <x:v>언어</x:v>
      </x:c>
      <x:c r="C4" s="18" t="str">
        <x:v>파일</x:v>
      </x:c>
      <x:c r="D4" s="18" t="str">
        <x:v>대표 역할</x:v>
      </x:c>
      <x:c r="E4" s="18" t="str">
        <x:v>쪽수</x:v>
      </x:c>
      <x:c r="F4" s="18" t="str">
        <x:v>추출 상태</x:v>
      </x:c>
      <x:c r="G4" s="18" t="str">
        <x:v>진행 상태</x:v>
      </x:c>
      <x:c r="H4" s="11" t="str">
        <x:v>감사 메모</x:v>
      </x:c>
    </x:row>
    <x:row r="5" ht="36" customHeight="1">
      <x:c r="A5" s="29" t="n">
        <x:v>1</x:v>
      </x:c>
      <x:c r="B5" s="29" t="str">
        <x:v>en</x:v>
      </x:c>
      <x:c r="C5" s="29" t="str">
        <x:v>[02-002]_Gu(1990)_Politeness Phenomena in Modern Chinese_중국어공손4격률·중국고유공손.pdf</x:v>
      </x:c>
      <x:c r="D5" s="29" t="str">
        <x:v>중국어 공손성 고전 이론</x:v>
      </x:c>
      <x:c r="E5" s="29" t="n">
        <x:v>21</x:v>
      </x:c>
      <x:c r="F5" s="29" t="str">
        <x:v>native</x:v>
      </x:c>
      <x:c r="G5" s="29" t="str">
        <x:v>선정·M1 대기</x:v>
      </x:c>
      <x:c r="H5" s="29" t="str">
        <x:v>구형 PDF·중국문자 표기 재확인</x:v>
      </x:c>
    </x:row>
    <x:row r="6" ht="36" customHeight="1">
      <x:c r="A6" s="29" t="n">
        <x:v>2</x:v>
      </x:c>
      <x:c r="B6" s="29" t="str">
        <x:v>en</x:v>
      </x:c>
      <x:c r="C6" s="29" t="str">
        <x:v>[03-001]_Ellis &amp; Levy(2010)_A Guide for Novice Researchers Design and Development Research Methods_개발연구·방법론.pdf</x:v>
      </x:c>
      <x:c r="D6" s="29" t="str">
        <x:v>DDR 방법론</x:v>
      </x:c>
      <x:c r="E6" s="29" t="n">
        <x:v>12</x:v>
      </x:c>
      <x:c r="F6" s="29" t="str">
        <x:v>native</x:v>
      </x:c>
      <x:c r="G6" s="29" t="str">
        <x:v>선정·M1 대기</x:v>
      </x:c>
      <x:c r="H6" s="29" t="str">
        <x:v>3장 직접 방법론</x:v>
      </x:c>
    </x:row>
    <x:row r="7" ht="36" customHeight="1">
      <x:c r="A7" s="29" t="n">
        <x:v>3</x:v>
      </x:c>
      <x:c r="B7" s="29" t="str">
        <x:v>ko</x:v>
      </x:c>
      <x:c r="C7" s="29" t="str">
        <x:v>[02-004]_성인경_한국어 학습자의 화용 능력 평가를 위한 구인 연구 화행 중심_화용능력구인·평가설계.pdf</x:v>
      </x:c>
      <x:c r="D7" s="29" t="str">
        <x:v>화용능력 평가 구인</x:v>
      </x:c>
      <x:c r="E7" s="29" t="n">
        <x:v>26</x:v>
      </x:c>
      <x:c r="F7" s="29" t="str">
        <x:v>native</x:v>
      </x:c>
      <x:c r="G7" s="29" t="str">
        <x:v>선정·M1 대기</x:v>
      </x:c>
      <x:c r="H7" s="29" t="str">
        <x:v>파일명 연도 누락·본문 2024 확인</x:v>
      </x:c>
    </x:row>
    <x:row r="8" ht="36" customHeight="1">
      <x:c r="A8" s="29" t="n">
        <x:v>4</x:v>
      </x:c>
      <x:c r="B8" s="29" t="str">
        <x:v>ko</x:v>
      </x:c>
      <x:c r="C8" s="29" t="str">
        <x:v>[01-002]_오한나(2025)_텍스트마이닝을 통한 국내 AI 기반 번역 연구 동향 고찰_AI번역연구·연구동향.pdf</x:v>
      </x:c>
      <x:c r="D8" s="29" t="str">
        <x:v>AI 번역 연구동향</x:v>
      </x:c>
      <x:c r="E8" s="29" t="n">
        <x:v>30</x:v>
      </x:c>
      <x:c r="F8" s="29" t="str">
        <x:v>native</x:v>
      </x:c>
      <x:c r="G8" s="29" t="str">
        <x:v>선정·M1 대기</x:v>
      </x:c>
      <x:c r="H8" s="29" t="str">
        <x:v>리뷰의 gap와 저자 주장 분리</x:v>
      </x:c>
    </x:row>
    <x:row r="9" ht="36" customHeight="1">
      <x:c r="A9" s="29" t="n">
        <x:v>5</x:v>
      </x:c>
      <x:c r="B9" s="29" t="str">
        <x:v>zh</x:v>
      </x:c>
      <x:c r="C9" s="29" t="str">
        <x:v>[02-003]_郭辉(2021)_汉韩拒绝言语行为对比研究及对韩汉语教学启示_한중대조·거절화행.pdf</x:v>
      </x:c>
      <x:c r="D9" s="29" t="str">
        <x:v>한중 거절화행 대조</x:v>
      </x:c>
      <x:c r="E9" s="29" t="n">
        <x:v>124</x:v>
      </x:c>
      <x:c r="F9" s="29" t="str">
        <x:v>native</x:v>
      </x:c>
      <x:c r="G9" s="29" t="str">
        <x:v>선정·M1 대기</x:v>
      </x:c>
      <x:c r="H9" s="29" t="str">
        <x:v>124쪽 학위논문·표 수치 재확인</x:v>
      </x:c>
    </x:row>
    <x:row r="10" ht="36" customHeight="1">
      <x:c r="A10" s="29" t="n">
        <x:v>6</x:v>
      </x:c>
      <x:c r="B10" s="29" t="str">
        <x:v>zh</x:v>
      </x:c>
      <x:c r="C10" s="29" t="str">
        <x:v>[02-005]_高怡楠 等(2025)_大语言模型赋能国际中文语用教学的可行性研究_AI화용능력·거절화행.pdf</x:v>
      </x:c>
      <x:c r="D10" s="29" t="str">
        <x:v>AI 중국어 화용교수</x:v>
      </x:c>
      <x:c r="E10" s="29" t="n">
        <x:v>14</x:v>
      </x:c>
      <x:c r="F10" s="29" t="str">
        <x:v>native</x:v>
      </x:c>
      <x:c r="G10" s="29" t="str">
        <x:v>선정·M1 대기</x:v>
      </x:c>
      <x:c r="H10" s="29" t="str">
        <x:v>CNKI 중복·공백 오류 주의</x:v>
      </x:c>
    </x:row>
    <x:row r="12" ht="36" customHeight="1">
      <x:c r="A12" s="10" t="str">
        <x:v>예외 표본</x:v>
      </x:c>
      <x:c r="B12" s="18" t="str">
        <x:v>언어</x:v>
      </x:c>
      <x:c r="C12" s="18" t="str">
        <x:v>파일</x:v>
      </x:c>
      <x:c r="D12" s="18" t="str">
        <x:v>역할</x:v>
      </x:c>
      <x:c r="E12" s="18" t="str">
        <x:v>쪽수</x:v>
      </x:c>
      <x:c r="F12" s="18" t="str">
        <x:v>추출 상태</x:v>
      </x:c>
      <x:c r="G12" s="18" t="str">
        <x:v>진행 상태</x:v>
      </x:c>
      <x:c r="H12" s="11" t="str">
        <x:v>처리 원칙</x:v>
      </x:c>
    </x:row>
    <x:row r="13" ht="36" customHeight="1">
      <x:c r="A13" s="29" t="str">
        <x:v>OCR canary</x:v>
      </x:c>
      <x:c r="B13" s="29" t="str">
        <x:v>en</x:v>
      </x:c>
      <x:c r="C13" s="29" t="str">
        <x:v>[02-004]_Byon(2005)_미국 대학 KFL 화행 학습 활동 개발_화행교수·활동설계.pdf</x:v>
      </x:c>
      <x:c r="D13" s="29" t="str">
        <x:v>유일한 이미지형 PDF</x:v>
      </x:c>
      <x:c r="E13" s="29" t="n">
        <x:v>36</x:v>
      </x:c>
      <x:c r="F13" s="29" t="str">
        <x:v>ocr_needed</x:v>
      </x:c>
      <x:c r="G13" s="29" t="str">
        <x:v>OCR 대기</x:v>
      </x:c>
      <x:c r="H13" s="29" t="str">
        <x:v>삭제하지 않고 필요한 절부터 OCR·시각 대조</x:v>
      </x:c>
    </x:row>
    <x:row r="15" ht="36" customHeight="1">
      <x:c r="A15" s="10" t="str">
        <x:v>외부검사</x:v>
      </x:c>
      <x:c r="B15" s="18" t="str">
        <x:v>언어</x:v>
      </x:c>
      <x:c r="C15" s="18" t="str">
        <x:v>파일</x:v>
      </x:c>
      <x:c r="D15" s="18" t="str">
        <x:v>역할</x:v>
      </x:c>
      <x:c r="E15" s="18" t="str">
        <x:v>쪽수</x:v>
      </x:c>
      <x:c r="F15" s="18" t="str">
        <x:v>추출 상태</x:v>
      </x:c>
      <x:c r="G15" s="18" t="str">
        <x:v>진행 상태</x:v>
      </x:c>
      <x:c r="H15" s="11" t="str">
        <x:v>처리 원칙</x:v>
      </x:c>
    </x:row>
    <x:row r="16" ht="36" customHeight="1">
      <x:c r="A16" s="29" t="str">
        <x:v>전이 경계</x:v>
      </x:c>
      <x:c r="B16" s="29" t="str">
        <x:v>en</x:v>
      </x:c>
      <x:c r="C16" s="29" t="str">
        <x:v>[02-001]_Alos(2015)_Explicating the implicit an empirical investigation into pragmatic competence in translator training_번역교육·화용능력.pdf</x:v>
      </x:c>
      <x:c r="D16" s="29" t="str">
        <x:v>번역자 훈련의 화용능력</x:v>
      </x:c>
      <x:c r="E16" s="29" t="n">
        <x:v>20</x:v>
      </x:c>
      <x:c r="F16" s="29" t="str">
        <x:v>native</x:v>
      </x:c>
      <x:c r="G16" s="29" t="str">
        <x:v>6편 교정 후</x:v>
      </x:c>
      <x:c r="H16" s="29" t="str">
        <x:v>L2 일반 화용 근거를 통번역 수행으로 과잉 전이하는지 점검</x:v>
      </x:c>
    </x:row>
  </x:sheetData>
  <x:mergeCells>
    <x:mergeCell ref="A1:H2"/>
  </x:mergeCells>
  <x:pageMargins left="0.7" right="0.7" top="0.75" bottom="0.75" header="0.3" footer="0.3"/>
  <x:tableParts count="1">
    <x:tablePart xmlns:r="http://schemas.openxmlformats.org/officeDocument/2006/relationships" r:id="R0f0bb3d61c924f84"/>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8" hidden="0" customWidth="1"/>
    <x:col min="2" max="2" width="12" hidden="0" customWidth="1"/>
    <x:col min="3" max="3" width="52" hidden="0" customWidth="1"/>
    <x:col min="4" max="4" width="10" hidden="0" customWidth="1"/>
    <x:col min="6" max="6" width="18" hidden="0" customWidth="1"/>
    <x:col min="7" max="7" width="18" hidden="0" customWidth="1"/>
    <x:col min="8" max="8" width="18" hidden="0" customWidth="1"/>
  </x:cols>
  <x:sheetData>
    <x:row r="1">
      <x:c r="A1" s="3" t="str">
        <x:v>코드 목록과 우선순위 채점 기준</x:v>
      </x:c>
      <x:c r="B1" s="3" t="str">
        <x:v>코드 목록과 우선순위 채점 기준</x:v>
      </x:c>
      <x:c r="C1" s="3" t="str">
        <x:v>코드 목록과 우선순위 채점 기준</x:v>
      </x:c>
      <x:c r="D1" s="3" t="str">
        <x:v>코드 목록과 우선순위 채점 기준</x:v>
      </x:c>
      <x:c r="E1" s="3" t="str">
        <x:v>코드 목록과 우선순위 채점 기준</x:v>
      </x:c>
      <x:c r="F1" s="3" t="str">
        <x:v>코드 목록과 우선순위 채점 기준</x:v>
      </x:c>
      <x:c r="G1" s="3" t="str">
        <x:v>코드 목록과 우선순위 채점 기준</x:v>
      </x:c>
      <x:c r="H1" s="3" t="str">
        <x:v>코드 목록과 우선순위 채점 기준</x:v>
      </x:c>
    </x:row>
    <x:row r="2">
      <x:c r="A2" s="3" t="str">
        <x:v>코드 목록과 우선순위 채점 기준</x:v>
      </x:c>
      <x:c r="B2" s="3" t="str">
        <x:v>코드 목록과 우선순위 채점 기준</x:v>
      </x:c>
      <x:c r="C2" s="3" t="str">
        <x:v>코드 목록과 우선순위 채점 기준</x:v>
      </x:c>
      <x:c r="D2" s="3" t="str">
        <x:v>코드 목록과 우선순위 채점 기준</x:v>
      </x:c>
      <x:c r="E2" s="3" t="str">
        <x:v>코드 목록과 우선순위 채점 기준</x:v>
      </x:c>
      <x:c r="F2" s="3" t="str">
        <x:v>코드 목록과 우선순위 채점 기준</x:v>
      </x:c>
      <x:c r="G2" s="3" t="str">
        <x:v>코드 목록과 우선순위 채점 기준</x:v>
      </x:c>
      <x:c r="H2" s="3" t="str">
        <x:v>코드 목록과 우선순위 채점 기준</x:v>
      </x:c>
    </x:row>
    <x:row r="4">
      <x:c r="A4" s="10" t="str">
        <x:v>항목</x:v>
      </x:c>
      <x:c r="B4" s="18" t="str">
        <x:v>범위</x:v>
      </x:c>
      <x:c r="C4" s="18" t="str">
        <x:v>판정 질문</x:v>
      </x:c>
      <x:c r="D4" s="11" t="str">
        <x:v>최대점</x:v>
      </x:c>
      <x:c r="F4" s="10" t="str">
        <x:v>독해</x:v>
      </x:c>
      <x:c r="G4" s="18" t="str">
        <x:v>근거 시점</x:v>
      </x:c>
      <x:c r="H4" s="11" t="str">
        <x:v>인용 상태</x:v>
      </x:c>
    </x:row>
    <x:row r="5">
      <x:c r="A5" t="str">
        <x:v>직접성</x:v>
      </x:c>
      <x:c r="B5" t="str">
        <x:v>0-4</x:v>
      </x:c>
      <x:c r="C5" t="str">
        <x:v>논문 연구문제와 직접 연결되는가</x:v>
      </x:c>
      <x:c r="D5" t="n">
        <x:v>4</x:v>
      </x:c>
      <x:c r="F5" t="str">
        <x:v>M0</x:v>
      </x:c>
      <x:c r="G5" t="str">
        <x:v>T0</x:v>
      </x:c>
      <x:c r="H5" t="str">
        <x:v>owned</x:v>
      </x:c>
    </x:row>
    <x:row r="6">
      <x:c r="A6" t="str">
        <x:v>근거 활용성</x:v>
      </x:c>
      <x:c r="B6" t="str">
        <x:v>0-3</x:v>
      </x:c>
      <x:c r="C6" t="str">
        <x:v>결과·자료를 주장 근거로 쓸 수 있는가</x:v>
      </x:c>
      <x:c r="D6" t="n">
        <x:v>3</x:v>
      </x:c>
      <x:c r="F6" t="str">
        <x:v>M1</x:v>
      </x:c>
      <x:c r="G6" t="str">
        <x:v>T1</x:v>
      </x:c>
      <x:c r="H6" t="str">
        <x:v>quick_review</x:v>
      </x:c>
    </x:row>
    <x:row r="7">
      <x:c r="A7" t="str">
        <x:v>방법 투명성</x:v>
      </x:c>
      <x:c r="B7" t="str">
        <x:v>0-3</x:v>
      </x:c>
      <x:c r="C7" t="str">
        <x:v>자료·방법·분석이 확인 가능한가</x:v>
      </x:c>
      <x:c r="D7" t="n">
        <x:v>3</x:v>
      </x:c>
      <x:c r="F7" t="str">
        <x:v>M2</x:v>
      </x:c>
      <x:c r="G7" t="str">
        <x:v>T2</x:v>
      </x:c>
      <x:c r="H7" t="str">
        <x:v>relevant</x:v>
      </x:c>
    </x:row>
    <x:row r="8">
      <x:c r="A8" t="str">
        <x:v>언어쌍 특수성</x:v>
      </x:c>
      <x:c r="B8" t="str">
        <x:v>0-3</x:v>
      </x:c>
      <x:c r="C8" t="str">
        <x:v>한중·L2 화용·통번역 맥락에 직접적인가</x:v>
      </x:c>
      <x:c r="D8" t="n">
        <x:v>3</x:v>
      </x:c>
      <x:c r="F8" t="str">
        <x:v>M3</x:v>
      </x:c>
      <x:c r="G8" t="str">
        <x:v>T3</x:v>
      </x:c>
      <x:c r="H8" t="str">
        <x:v>source_verified</x:v>
      </x:c>
    </x:row>
    <x:row r="9">
      <x:c r="A9" t="str">
        <x:v>설계 적용성</x:v>
      </x:c>
      <x:c r="B9" t="str">
        <x:v>0-3</x:v>
      </x:c>
      <x:c r="C9" t="str">
        <x:v>PRAGMA 설계·평가에 실행 가능한 함의가 있는가</x:v>
      </x:c>
      <x:c r="D9" t="n">
        <x:v>3</x:v>
      </x:c>
      <x:c r="F9" t="str"/>
      <x:c r="G9" t="str">
        <x:v>T1_candidate</x:v>
      </x:c>
      <x:c r="H9" t="str">
        <x:v>citation_ready</x:v>
      </x:c>
    </x:row>
    <x:row r="10">
      <x:c r="A10" t="str">
        <x:v>정본성·최신성</x:v>
      </x:c>
      <x:c r="B10" t="str">
        <x:v>0-2</x:v>
      </x:c>
      <x:c r="C10" t="str">
        <x:v>고전 정본이거나 최신 핵심 연구인가</x:v>
      </x:c>
      <x:c r="D10" t="n">
        <x:v>2</x:v>
      </x:c>
    </x:row>
    <x:row r="11">
      <x:c r="A11" t="str">
        <x:v>A</x:v>
      </x:c>
      <x:c r="B11" t="str">
        <x:v>13-18</x:v>
      </x:c>
      <x:c r="C11" t="str">
        <x:v>심층 독해와 인용 검증</x:v>
      </x:c>
      <x:c r="D11" t="n">
        <x:v>18</x:v>
      </x:c>
    </x:row>
    <x:row r="12">
      <x:c r="A12" t="str">
        <x:v>B</x:v>
      </x:c>
      <x:c r="B12" t="str">
        <x:v>8-12</x:v>
      </x:c>
      <x:c r="C12" t="str">
        <x:v>절별 종합과 표적 재독</x:v>
      </x:c>
      <x:c r="D12" t="n">
        <x:v>12</x:v>
      </x:c>
    </x:row>
  </x:sheetData>
  <x:mergeCells>
    <x:mergeCell ref="A1:H2"/>
  </x:mergeCell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19" hidden="0" customWidth="1"/>
    <x:col min="2" max="2" width="24" hidden="0" customWidth="1"/>
    <x:col min="3" max="3" width="24" hidden="0" customWidth="1"/>
    <x:col min="4" max="4" width="38" hidden="0" customWidth="1"/>
    <x:col min="5" max="5" width="38" hidden="0" customWidth="1"/>
    <x:col min="6" max="6" width="38" hidden="0" customWidth="1"/>
    <x:col min="7" max="7" width="38" hidden="0" customWidth="1"/>
    <x:col min="8" max="8" width="38" hidden="0" customWidth="1"/>
    <x:col min="9" max="9" width="38" hidden="0" customWidth="1"/>
    <x:col min="10" max="10" width="40" hidden="0" customWidth="1"/>
    <x:col min="11" max="11" width="40" hidden="0" customWidth="1"/>
    <x:col min="12" max="12" width="38" hidden="0" customWidth="1"/>
    <x:col min="13" max="13" width="26" hidden="0" customWidth="1"/>
    <x:col min="14" max="14" width="11" hidden="0" customWidth="1"/>
    <x:col min="15" max="15" width="11" hidden="0" customWidth="1"/>
    <x:col min="16" max="16" width="12" hidden="0" customWidth="1"/>
    <x:col min="17" max="17" width="12" hidden="0" customWidth="1"/>
    <x:col min="18" max="18" width="14" hidden="0" customWidth="1"/>
  </x:cols>
  <x:sheetData>
    <x:row r="1">
      <x:c r="A1" s="64" t="str">
        <x:v>3장 관련 문헌 5편 · M1 신속 선별 카드</x:v>
      </x:c>
      <x:c r="B1" s="64" t="str">
        <x:v>3장 관련 문헌 5편 · M1 신속 선별 카드</x:v>
      </x:c>
      <x:c r="C1" s="64" t="str">
        <x:v>3장 관련 문헌 5편 · M1 신속 선별 카드</x:v>
      </x:c>
      <x:c r="D1" s="64" t="str">
        <x:v>3장 관련 문헌 5편 · M1 신속 선별 카드</x:v>
      </x:c>
      <x:c r="E1" s="64" t="str">
        <x:v>3장 관련 문헌 5편 · M1 신속 선별 카드</x:v>
      </x:c>
      <x:c r="F1" s="64" t="str">
        <x:v>3장 관련 문헌 5편 · M1 신속 선별 카드</x:v>
      </x:c>
      <x:c r="G1" s="64" t="str">
        <x:v>3장 관련 문헌 5편 · M1 신속 선별 카드</x:v>
      </x:c>
      <x:c r="H1" s="64" t="str">
        <x:v>3장 관련 문헌 5편 · M1 신속 선별 카드</x:v>
      </x:c>
      <x:c r="I1" s="64" t="str">
        <x:v>3장 관련 문헌 5편 · M1 신속 선별 카드</x:v>
      </x:c>
      <x:c r="J1" s="64" t="str">
        <x:v>3장 관련 문헌 5편 · M1 신속 선별 카드</x:v>
      </x:c>
      <x:c r="K1" s="64" t="str">
        <x:v>3장 관련 문헌 5편 · M1 신속 선별 카드</x:v>
      </x:c>
      <x:c r="L1" s="64" t="str">
        <x:v>3장 관련 문헌 5편 · M1 신속 선별 카드</x:v>
      </x:c>
      <x:c r="M1" s="64" t="str">
        <x:v>3장 관련 문헌 5편 · M1 신속 선별 카드</x:v>
      </x:c>
      <x:c r="N1" s="64" t="str">
        <x:v>3장 관련 문헌 5편 · M1 신속 선별 카드</x:v>
      </x:c>
      <x:c r="O1" s="64" t="str">
        <x:v>3장 관련 문헌 5편 · M1 신속 선별 카드</x:v>
      </x:c>
      <x:c r="P1" s="64" t="str">
        <x:v>3장 관련 문헌 5편 · M1 신속 선별 카드</x:v>
      </x:c>
      <x:c r="Q1" s="64" t="str">
        <x:v>3장 관련 문헌 5편 · M1 신속 선별 카드</x:v>
      </x:c>
      <x:c r="R1" s="64" t="str">
        <x:v>3장 관련 문헌 5편 · M1 신속 선별 카드</x:v>
      </x:c>
    </x:row>
    <x:row r="2">
      <x:c r="A2" s="64" t="str">
        <x:v>3장 관련 문헌 5편 · M1 신속 선별 카드</x:v>
      </x:c>
      <x:c r="B2" s="64" t="str">
        <x:v>3장 관련 문헌 5편 · M1 신속 선별 카드</x:v>
      </x:c>
      <x:c r="C2" s="64" t="str">
        <x:v>3장 관련 문헌 5편 · M1 신속 선별 카드</x:v>
      </x:c>
      <x:c r="D2" s="64" t="str">
        <x:v>3장 관련 문헌 5편 · M1 신속 선별 카드</x:v>
      </x:c>
      <x:c r="E2" s="64" t="str">
        <x:v>3장 관련 문헌 5편 · M1 신속 선별 카드</x:v>
      </x:c>
      <x:c r="F2" s="64" t="str">
        <x:v>3장 관련 문헌 5편 · M1 신속 선별 카드</x:v>
      </x:c>
      <x:c r="G2" s="64" t="str">
        <x:v>3장 관련 문헌 5편 · M1 신속 선별 카드</x:v>
      </x:c>
      <x:c r="H2" s="64" t="str">
        <x:v>3장 관련 문헌 5편 · M1 신속 선별 카드</x:v>
      </x:c>
      <x:c r="I2" s="64" t="str">
        <x:v>3장 관련 문헌 5편 · M1 신속 선별 카드</x:v>
      </x:c>
      <x:c r="J2" s="64" t="str">
        <x:v>3장 관련 문헌 5편 · M1 신속 선별 카드</x:v>
      </x:c>
      <x:c r="K2" s="64" t="str">
        <x:v>3장 관련 문헌 5편 · M1 신속 선별 카드</x:v>
      </x:c>
      <x:c r="L2" s="64" t="str">
        <x:v>3장 관련 문헌 5편 · M1 신속 선별 카드</x:v>
      </x:c>
      <x:c r="M2" s="64" t="str">
        <x:v>3장 관련 문헌 5편 · M1 신속 선별 카드</x:v>
      </x:c>
      <x:c r="N2" s="64" t="str">
        <x:v>3장 관련 문헌 5편 · M1 신속 선별 카드</x:v>
      </x:c>
      <x:c r="O2" s="64" t="str">
        <x:v>3장 관련 문헌 5편 · M1 신속 선별 카드</x:v>
      </x:c>
      <x:c r="P2" s="64" t="str">
        <x:v>3장 관련 문헌 5편 · M1 신속 선별 카드</x:v>
      </x:c>
      <x:c r="Q2" s="64" t="str">
        <x:v>3장 관련 문헌 5편 · M1 신속 선별 카드</x:v>
      </x:c>
      <x:c r="R2" s="64" t="str">
        <x:v>3장 관련 문헌 5편 · M1 신속 선별 카드</x:v>
      </x:c>
    </x:row>
    <x:row r="4" ht="76" customHeight="1">
      <x:c r="A4" s="61" t="str">
        <x:v>work_id</x:v>
      </x:c>
      <x:c r="B4" s="65" t="str">
        <x:v>문헌</x:v>
      </x:c>
      <x:c r="C4" s="65" t="str">
        <x:v>3장 역할</x:v>
      </x:c>
      <x:c r="D4" s="65" t="str">
        <x:v>목적·RQ</x:v>
      </x:c>
      <x:c r="E4" s="65" t="str">
        <x:v>자료·방법</x:v>
      </x:c>
      <x:c r="F4" s="65" t="str">
        <x:v>핵심 결과 1</x:v>
      </x:c>
      <x:c r="G4" s="65" t="str">
        <x:v>핵심 결과 2</x:v>
      </x:c>
      <x:c r="H4" s="65" t="str">
        <x:v>핵심 결과 3</x:v>
      </x:c>
      <x:c r="I4" s="65" t="str">
        <x:v>저자 명시 한계</x:v>
      </x:c>
      <x:c r="J4" s="65" t="str">
        <x:v>허용 주장</x:v>
      </x:c>
      <x:c r="K4" s="65" t="str">
        <x:v>금지 주장</x:v>
      </x:c>
      <x:c r="L4" s="65" t="str">
        <x:v>적용 경계</x:v>
      </x:c>
      <x:c r="M4" s="65" t="str">
        <x:v>근거 페이지</x:v>
      </x:c>
      <x:c r="N4" s="65" t="str">
        <x:v>최종 점수</x:v>
      </x:c>
      <x:c r="O4" s="65" t="str">
        <x:v>최종 등급</x:v>
      </x:c>
      <x:c r="P4" s="65" t="str">
        <x:v>Opus 판정</x:v>
      </x:c>
      <x:c r="Q4" s="65" t="str">
        <x:v>Fable 판정</x:v>
      </x:c>
      <x:c r="R4" s="62" t="str">
        <x:v>상태</x:v>
      </x:c>
    </x:row>
    <x:row r="5" ht="76" customHeight="1">
      <x:c r="A5" s="47" t="str">
        <x:v>LIT-20260814-163</x:v>
      </x:c>
      <x:c r="B5" s="47" t="str">
        <x:v>Ellis &amp; Levy (2010)</x:v>
      </x:c>
      <x:c r="C5" s="47" t="str">
        <x:v>DDR 절차·추적성</x:v>
      </x:c>
      <x:c r="D5" s="47" t="str">
        <x:v>설계·개발연구의 기본 개념과 절차를 초심자에게 제시</x:v>
      </x:c>
      <x:c r="E5" s="47" t="str">
        <x:v>선행 방법론 종합; 실증표본 없음</x:v>
      </x:c>
      <x:c r="F5" s="47" t="str">
        <x:v>제품개발과 연구를 문제·문헌·독창적 기여·평가로 구분</x:v>
      </x:c>
      <x:c r="G5" s="47" t="str">
        <x:v>문제→목표→설계·개발→시험→평가→공개의 6단계</x:v>
      </x:c>
      <x:c r="H5" s="47" t="str">
        <x:v>설계 선택·대안·근거와 시험 결과의 기록을 강조</x:v>
      </x:c>
      <x:c r="I5" s="47" t="str">
        <x:v>포괄적 방법론이 아닌 출발용 프레임</x:v>
      </x:c>
      <x:c r="J5" s="47" t="str">
        <x:v>PRAGMA의 설계결정·대안·근거·시험을 추적해야 함</x:v>
      </x:c>
      <x:c r="K5" s="47" t="str">
        <x:v>DDR의 유일·최신 정본 또는 교육효과 근거</x:v>
      </x:c>
      <x:c r="L5" s="47" t="str">
        <x:v>정보시스템/교육 개론; 언어교육 DDR 원전 보강 필요</x:v>
      </x:c>
      <x:c r="M5" s="47" t="str">
        <x:v>PDF 2–10 / 인쇄 108–116</x:v>
      </x:c>
      <x:c r="N5" s="47" t="n">
        <x:v>12</x:v>
      </x:c>
      <x:c r="O5" s="47" t="str">
        <x:v>B</x:v>
      </x:c>
      <x:c r="P5" s="47" t="str">
        <x:v>A</x:v>
      </x:c>
      <x:c r="Q5" s="47" t="str">
        <x:v>B</x:v>
      </x:c>
      <x:c r="R5" s="47" t="str">
        <x:v>M1 완료</x:v>
      </x:c>
    </x:row>
    <x:row r="6" ht="76" customHeight="1">
      <x:c r="A6" s="47" t="str">
        <x:v>LIT-20260814-164</x:v>
      </x:c>
      <x:c r="B6" s="47" t="str">
        <x:v>Li &amp; Taguchi (2026)</x:v>
      </x:c>
      <x:c r="C6" s="47" t="str">
        <x:v>적절성 대역의 상황변수</x:v>
      </x:c>
      <x:c r="D6" s="47" t="str">
        <x:v>숙달도·권력·부담이 중국어 요청의 내·외적 완화와 배치에 미치는 효과</x:v>
      </x:c>
      <x:c r="E6" s="47" t="str">
        <x:v>미국인 L2 중국어 31명+모어화자 22명; 8 ODCT; 비모수 검정</x:v>
      </x:c>
      <x:c r="F6" s="47" t="str">
        <x:v>학습자는 내부 완화의 빈도·종류가 더 제한적</x:v>
      </x:c>
      <x:c r="G6" s="47" t="str">
        <x:v>외부 완화는 고숙달 집단이 더 모어화자에 가까움</x:v>
      </x:c>
      <x:c r="H6" s="47" t="str">
        <x:v>Prior 배치가 숙달도·권력·부담에 민감</x:v>
      </x:c>
      <x:c r="I6" s="47" t="str">
        <x:v>소표본·단일턴 ODCT·사회적 거리 미포함</x:v>
      </x:c>
      <x:c r="J6" s="47" t="str">
        <x:v>완화의 유형·위치·상황민감성을 관찰 특성으로 사용</x:v>
      </x:c>
      <x:c r="K6" s="47" t="str">
        <x:v>완화가 많을수록 적절; 빈도를 임계값으로 직접 사용</x:v>
      </x:c>
      <x:c r="L6" s="47" t="str">
        <x:v>요청화행·미국인 유학생; 통번역·한국인 학습자로 일반화 금지</x:v>
      </x:c>
      <x:c r="M6" s="47" t="str">
        <x:v>PDF 5–18</x:v>
      </x:c>
      <x:c r="N6" s="47" t="n">
        <x:v>18</x:v>
      </x:c>
      <x:c r="O6" s="47" t="str">
        <x:v>A</x:v>
      </x:c>
      <x:c r="P6" s="47" t="str">
        <x:v>A</x:v>
      </x:c>
      <x:c r="Q6" s="47" t="str">
        <x:v>A</x:v>
      </x:c>
      <x:c r="R6" s="47" t="str">
        <x:v>M1 완료</x:v>
      </x:c>
    </x:row>
    <x:row r="7" ht="76" customHeight="1">
      <x:c r="A7" s="47" t="str">
        <x:v>LIT-20260814-165</x:v>
      </x:c>
      <x:c r="B7" s="47" t="str">
        <x:v>오현주 (2026)</x:v>
      </x:c>
      <x:c r="C7" s="47" t="str">
        <x:v>실담화 조건화·생성 품질</x:v>
      </x:c>
      <x:c r="D7" s="47" t="str">
        <x:v>실담화 공손 자료 제시 전후 AI 비즈니스 담화의 언어·비언어 구성 비교</x:v>
      </x:c>
      <x:c r="E7" s="47" t="str">
        <x:v>중국 드라마 3편의 공손 사례 48건; GPT-4·DeepSeek·Gemini 출력 비교</x:v>
      </x:c>
      <x:c r="F7" s="47" t="str">
        <x:v>언어적 공손 표현은 조건 전에도 비교적 안정</x:v>
      </x:c>
      <x:c r="G7" s="47" t="str">
        <x:v>조건 후 비언어 행동·시선·순서가 구체화</x:v>
      </x:c>
      <x:c r="H7" s="47" t="str">
        <x:v>조건화 반응은 모델별로 다름</x:v>
      </x:c>
      <x:c r="I7" s="47" t="str">
        <x:v>별도 한계절 없음; 직장/첫 만남·목적표집으로 범위 제한</x:v>
      </x:c>
      <x:c r="J7" s="47" t="str">
        <x:v>실담화 사례를 생성계약 조건자료로 제공할 수 있음</x:v>
      </x:c>
      <x:c r="K7" s="47" t="str">
        <x:v>학습효과·문화적 적절성·보편적 품질향상</x:v>
      </x:c>
      <x:c r="L7" s="47" t="str">
        <x:v>반복 수·모델 버전·독립 코딩 신뢰도 미보고</x:v>
      </x:c>
      <x:c r="M7" s="47" t="str">
        <x:v>PDF 3–23 / 인쇄 149–169</x:v>
      </x:c>
      <x:c r="N7" s="47" t="n">
        <x:v>12</x:v>
      </x:c>
      <x:c r="O7" s="47" t="str">
        <x:v>B</x:v>
      </x:c>
      <x:c r="P7" s="47" t="str">
        <x:v>A</x:v>
      </x:c>
      <x:c r="Q7" s="47" t="str">
        <x:v>B</x:v>
      </x:c>
      <x:c r="R7" s="47" t="str">
        <x:v>M1 완료</x:v>
      </x:c>
    </x:row>
    <x:row r="8" ht="76" customHeight="1">
      <x:c r="A8" s="47" t="str">
        <x:v>LIT-20260814-166</x:v>
      </x:c>
      <x:c r="B8" s="47" t="str">
        <x:v>진실희 (2024)</x:v>
      </x:c>
      <x:c r="C8" s="47" t="str">
        <x:v>생성계약·제작/편집</x:v>
      </x:c>
      <x:c r="D8" s="47" t="str">
        <x:v>통역교육 콘텐츠 제작·편집용 프롬프트 템플릿 제안</x:v>
      </x:c>
      <x:c r="E8" s="47" t="str">
        <x:v>문헌 검토+소수 ChatGPT 실행 사례; 학습자·대조실험 없음</x:v>
      </x:c>
      <x:c r="F8" s="47" t="str">
        <x:v>CORE: 맥락·결과형식·참고자료·예시</x:v>
      </x:c>
      <x:c r="G8" s="47" t="str">
        <x:v>신규 제작과 기존 자료 편집을 분리</x:v>
      </x:c>
      <x:c r="H8" s="47" t="str">
        <x:v>주제·어휘·문장·논리·정보밀도·도착어 표현을 편집 변수로 제안</x:v>
      </x:c>
      <x:c r="I8" s="47" t="str">
        <x:v>모든 조합 미실행; 결과물 심층 품질평가 부재</x:v>
      </x:c>
      <x:c r="J8" s="47" t="str">
        <x:v>생성계약 필드를 분리하고 제작/편집 단계를 구분</x:v>
      </x:c>
      <x:c r="K8" s="47" t="str">
        <x:v>CORE가 품질·사실성·화용 적절성을 보장</x:v>
      </x:c>
      <x:c r="L8" s="47" t="str">
        <x:v>사례 중심; 사실검증·승인·재생성 계약은 별도 필요</x:v>
      </x:c>
      <x:c r="M8" s="47" t="str">
        <x:v>PDF 1–23 / 인쇄 123–145</x:v>
      </x:c>
      <x:c r="N8" s="47" t="n">
        <x:v>12</x:v>
      </x:c>
      <x:c r="O8" s="47" t="str">
        <x:v>B</x:v>
      </x:c>
      <x:c r="P8" s="47" t="str">
        <x:v>A</x:v>
      </x:c>
      <x:c r="Q8" s="47" t="str">
        <x:v>B</x:v>
      </x:c>
      <x:c r="R8" s="47" t="str">
        <x:v>M1 완료</x:v>
      </x:c>
    </x:row>
    <x:row r="9" ht="76" customHeight="1">
      <x:c r="A9" s="47" t="str">
        <x:v>LIT-20260814-167</x:v>
      </x:c>
      <x:c r="B9" s="47" t="str">
        <x:v>박민준 (2026)</x:v>
      </x:c>
      <x:c r="C9" s="47" t="str">
        <x:v>AI 초안→교사 큐레이션</x:v>
      </x:c>
      <x:c r="D9" s="47" t="str">
        <x:v>소셜미디어 중국어의 교육자료 변환과 ChineseRealTalk 구현</x:v>
      </x:c>
      <x:c r="E9" s="47" t="str">
        <x:v>Streamlit 플랫폼 구현·사례 시연; 학습자 실험 없음</x:v>
      </x:c>
      <x:c r="F9" s="47" t="str">
        <x:v>HSK별 변환·신조어 JSON 주석·이해문항 생성</x:v>
      </x:c>
      <x:c r="G9" s="47" t="str">
        <x:v>일부 신조어 단순화에서 문화 의미 손실</x:v>
      </x:c>
      <x:c r="H9" s="47" t="str">
        <x:v>환각·지식시차·프롬프트/어휘부 의존을 확인</x:v>
      </x:c>
      <x:c r="I9" s="47" t="str">
        <x:v>환각·문화맥락 손실·최신성 지연·외부 어휘부 의존</x:v>
      </x:c>
      <x:c r="J9" s="47" t="str">
        <x:v>LLM을 초안 생성기로 두고 교사가 검토·큐레이션</x:v>
      </x:c>
      <x:c r="K9" s="47" t="str">
        <x:v>시간 절감·난이도 적합·학습효과가 검증됨</x:v>
      </x:c>
      <x:c r="L9" s="47" t="str">
        <x:v>소셜미디어 예시·특정 모델/어휘부; 최신성과 윤리 필터 필요</x:v>
      </x:c>
      <x:c r="M9" s="47" t="str">
        <x:v>PDF 9–22 / 인쇄 447–460</x:v>
      </x:c>
      <x:c r="N9" s="47" t="n">
        <x:v>12</x:v>
      </x:c>
      <x:c r="O9" s="47" t="str">
        <x:v>B</x:v>
      </x:c>
      <x:c r="P9" s="47" t="str">
        <x:v>A</x:v>
      </x:c>
      <x:c r="Q9" s="47" t="str">
        <x:v>B</x:v>
      </x:c>
      <x:c r="R9" s="47" t="str">
        <x:v>M1 완료</x:v>
      </x:c>
    </x:row>
  </x:sheetData>
  <x:mergeCells>
    <x:mergeCell ref="A1:R2"/>
  </x:mergeCells>
  <x:conditionalFormatting sqref="O5:O9">
    <x:cfRule type="containsText" dxfId="3" priority="1" operator="containsText" text="A"/>
    <x:cfRule type="containsText" dxfId="4" priority="2" operator="containsText" text="B"/>
    <x:cfRule type="containsText" dxfId="7" priority="3" operator="containsText" text="A"/>
    <x:cfRule type="containsText" dxfId="8" priority="4" operator="containsText" text="B"/>
    <x:cfRule type="containsText" dxfId="11" priority="5" operator="containsText" text="A"/>
    <x:cfRule type="containsText" dxfId="12" priority="6" operator="containsText" text="B"/>
    <x:cfRule type="containsText" dxfId="15" priority="7" operator="containsText" text="A"/>
    <x:cfRule type="containsText" dxfId="16" priority="8" operator="containsText" text="B"/>
  </x:conditionalFormatting>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4" hidden="0" customWidth="1"/>
    <x:col min="2" max="2" width="28" hidden="0" customWidth="1"/>
    <x:col min="3" max="3" width="14" hidden="0" customWidth="1"/>
    <x:col min="4" max="4" width="42" hidden="0" customWidth="1"/>
    <x:col min="5" max="5" width="42" hidden="0" customWidth="1"/>
    <x:col min="6" max="6" width="46" hidden="0" customWidth="1"/>
    <x:col min="7" max="7" width="12" hidden="0" customWidth="1"/>
    <x:col min="8" max="8" width="14" hidden="0" customWidth="1"/>
  </x:cols>
  <x:sheetData>
    <x:row r="1">
      <x:c r="A1" s="64" t="str">
        <x:v>3장 주장-근거와 문헌 공백</x:v>
      </x:c>
      <x:c r="B1" s="64" t="str">
        <x:v>3장 주장-근거와 문헌 공백</x:v>
      </x:c>
      <x:c r="C1" s="64" t="str">
        <x:v>3장 주장-근거와 문헌 공백</x:v>
      </x:c>
      <x:c r="D1" s="64" t="str">
        <x:v>3장 주장-근거와 문헌 공백</x:v>
      </x:c>
      <x:c r="E1" s="64" t="str">
        <x:v>3장 주장-근거와 문헌 공백</x:v>
      </x:c>
      <x:c r="F1" s="64" t="str">
        <x:v>3장 주장-근거와 문헌 공백</x:v>
      </x:c>
      <x:c r="G1" s="64" t="str">
        <x:v>3장 주장-근거와 문헌 공백</x:v>
      </x:c>
      <x:c r="H1" s="64" t="str">
        <x:v>3장 주장-근거와 문헌 공백</x:v>
      </x:c>
    </x:row>
    <x:row r="2">
      <x:c r="A2" s="64" t="str">
        <x:v>3장 주장-근거와 문헌 공백</x:v>
      </x:c>
      <x:c r="B2" s="64" t="str">
        <x:v>3장 주장-근거와 문헌 공백</x:v>
      </x:c>
      <x:c r="C2" s="64" t="str">
        <x:v>3장 주장-근거와 문헌 공백</x:v>
      </x:c>
      <x:c r="D2" s="64" t="str">
        <x:v>3장 주장-근거와 문헌 공백</x:v>
      </x:c>
      <x:c r="E2" s="64" t="str">
        <x:v>3장 주장-근거와 문헌 공백</x:v>
      </x:c>
      <x:c r="F2" s="64" t="str">
        <x:v>3장 주장-근거와 문헌 공백</x:v>
      </x:c>
      <x:c r="G2" s="64" t="str">
        <x:v>3장 주장-근거와 문헌 공백</x:v>
      </x:c>
      <x:c r="H2" s="64" t="str">
        <x:v>3장 주장-근거와 문헌 공백</x:v>
      </x:c>
    </x:row>
    <x:row r="4" ht="56" customHeight="1">
      <x:c r="A4" s="61" t="str">
        <x:v>영역</x:v>
      </x:c>
      <x:c r="B4" s="65" t="str">
        <x:v>현재 근거</x:v>
      </x:c>
      <x:c r="C4" s="65" t="str">
        <x:v>Gap 수준</x:v>
      </x:c>
      <x:c r="D4" s="65" t="str">
        <x:v>현재 허용 주장</x:v>
      </x:c>
      <x:c r="E4" s="65" t="str">
        <x:v>현재 금지 주장</x:v>
      </x:c>
      <x:c r="F4" s="65" t="str">
        <x:v>추가로 필요한 문헌·검증</x:v>
      </x:c>
      <x:c r="G4" s="65" t="str">
        <x:v>우선순위</x:v>
      </x:c>
      <x:c r="H4" s="62" t="str">
        <x:v>집필 위치</x:v>
      </x:c>
    </x:row>
    <x:row r="5" ht="56" customHeight="1">
      <x:c r="A5" s="50" t="str">
        <x:v>DDR 방법론</x:v>
      </x:c>
      <x:c r="B5" s="50" t="str">
        <x:v>Ellis &amp; Levy (2010), B</x:v>
      </x:c>
      <x:c r="C5" s="50" t="str">
        <x:v>G0+G2</x:v>
      </x:c>
      <x:c r="D5" s="50" t="str">
        <x:v>문제-목표-개발-시험-평가-공개와 설계 근거 기록</x:v>
      </x:c>
      <x:c r="E5" s="50" t="str">
        <x:v>6단계를 유일·최신 표준으로 제시</x:v>
      </x:c>
      <x:c r="F5" s="50" t="str">
        <x:v>Richey &amp; Klein; van den Akker; 교육 DDR 원전과 반복 형성평가</x:v>
      </x:c>
      <x:c r="G5" s="50" t="str">
        <x:v>최우선</x:v>
      </x:c>
      <x:c r="H5" s="50" t="str">
        <x:v>3.1</x:v>
      </x:c>
    </x:row>
    <x:row r="6" ht="56" customHeight="1">
      <x:c r="A6" s="50" t="str">
        <x:v>적절성 대역·상황변수</x:v>
      </x:c>
      <x:c r="B6" s="50" t="str">
        <x:v>Li &amp; Taguchi (2026), A</x:v>
      </x:c>
      <x:c r="C6" s="50" t="str">
        <x:v>G0+G1+G2</x:v>
      </x:c>
      <x:c r="D6" s="50" t="str">
        <x:v>권력·부담·숙달도에 따라 완화 유형·위치가 달라짐</x:v>
      </x:c>
      <x:c r="E6" s="50" t="str">
        <x:v>완화 빈도를 적절성 임계값으로 사용</x:v>
      </x:c>
      <x:c r="F6" s="50" t="str">
        <x:v>한국인 통번역 학습자의 인간 적절성 평정과 부족/과잉/맥락적합 기준</x:v>
      </x:c>
      <x:c r="G6" s="50" t="str">
        <x:v>최우선</x:v>
      </x:c>
      <x:c r="H6" s="50" t="str">
        <x:v>3.3</x:v>
      </x:c>
    </x:row>
    <x:row r="7" ht="56" customHeight="1">
      <x:c r="A7" s="50" t="str">
        <x:v>실담화 조건화</x:v>
      </x:c>
      <x:c r="B7" s="50" t="str">
        <x:v>오현주 (2026), B</x:v>
      </x:c>
      <x:c r="C7" s="50" t="str">
        <x:v>G1+G2+G3</x:v>
      </x:c>
      <x:c r="D7" s="50" t="str">
        <x:v>실담화 사례 제공이 생성 장면 구조를 바꿀 수 있음</x:v>
      </x:c>
      <x:c r="E7" s="50" t="str">
        <x:v>보편적 품질 향상·문화적 적절성·학습효과</x:v>
      </x:c>
      <x:c r="F7" s="50" t="str">
        <x:v>반복 실행·모델/버전 고정·출력 보존·독립코딩·전문가 검토</x:v>
      </x:c>
      <x:c r="G7" s="50" t="str">
        <x:v>높음</x:v>
      </x:c>
      <x:c r="H7" s="50" t="str">
        <x:v>3.4</x:v>
      </x:c>
    </x:row>
    <x:row r="8" ht="56" customHeight="1">
      <x:c r="A8" s="50" t="str">
        <x:v>프롬프트 생성계약</x:v>
      </x:c>
      <x:c r="B8" s="50" t="str">
        <x:v>진실희 (2024), B</x:v>
      </x:c>
      <x:c r="C8" s="50" t="str">
        <x:v>G0+G2+G3</x:v>
      </x:c>
      <x:c r="D8" s="50" t="str">
        <x:v>맥락·출력·참고자료·예시와 제작/편집 단계를 분리</x:v>
      </x:c>
      <x:c r="E8" s="50" t="str">
        <x:v>CORE만으로 품질·사실성·화용 적절성을 보장</x:v>
      </x:c>
      <x:c r="F8" s="50" t="str">
        <x:v>구조화 스키마·출처·금지조건·검수·승인·재생성 절차</x:v>
      </x:c>
      <x:c r="G8" s="50" t="str">
        <x:v>높음</x:v>
      </x:c>
      <x:c r="H8" s="50" t="str">
        <x:v>3.4</x:v>
      </x:c>
    </x:row>
    <x:row r="9" ht="56" customHeight="1">
      <x:c r="A9" s="50" t="str">
        <x:v>AI 교재화·큐레이션</x:v>
      </x:c>
      <x:c r="B9" s="50" t="str">
        <x:v>박민준 (2026), B</x:v>
      </x:c>
      <x:c r="C9" s="50" t="str">
        <x:v>G0+G1+G2+G3</x:v>
      </x:c>
      <x:c r="D9" s="50" t="str">
        <x:v>AI 초안 후 교사가 문화·사실·최신성을 검토</x:v>
      </x:c>
      <x:c r="E9" s="50" t="str">
        <x:v>자동 변환이 교육적 안전성과 효과를 보장</x:v>
      </x:c>
      <x:c r="F9" s="50" t="str">
        <x:v>의미보존 검사·문화손실 경고·최신성/출처·버전 기록</x:v>
      </x:c>
      <x:c r="G9" s="50" t="str">
        <x:v>높음</x:v>
      </x:c>
      <x:c r="H9" s="50" t="str">
        <x:v>3.4</x:v>
      </x:c>
    </x:row>
    <x:row r="10" ht="56" customHeight="1">
      <x:c r="A10" s="50" t="str">
        <x:v>교육효과</x:v>
      </x:c>
      <x:c r="B10" s="50" t="str">
        <x:v>직접 근거 없음</x:v>
      </x:c>
      <x:c r="C10" s="50" t="str">
        <x:v>G3</x:v>
      </x:c>
      <x:c r="D10" s="50" t="str">
        <x:v>현재 5편은 설계·산출 특성의 근거</x:v>
      </x:c>
      <x:c r="E10" s="50" t="str">
        <x:v>학습향상·교수자 시간절감이 입증됨</x:v>
      </x:c>
      <x:c r="F10" s="50" t="str">
        <x:v>전문가 검토, 사용자 실증, 학습자 수행 또는 사용성 자료</x:v>
      </x:c>
      <x:c r="G10" s="50" t="str">
        <x:v>최우선</x:v>
      </x:c>
      <x:c r="H10" s="50" t="str">
        <x:v>4장/5장</x:v>
      </x:c>
    </x:row>
  </x:sheetData>
  <x:mergeCells>
    <x:mergeCell ref="A1:H2"/>
  </x:mergeCells>
  <x:conditionalFormatting sqref="G5:G10">
    <x:cfRule type="containsText" dxfId="5" priority="1" operator="containsText" text="최우선"/>
    <x:cfRule type="containsText" dxfId="6" priority="2" operator="containsText" text="높음"/>
    <x:cfRule type="containsText" dxfId="9" priority="3" operator="containsText" text="최우선"/>
    <x:cfRule type="containsText" dxfId="10" priority="4" operator="containsText" text="높음"/>
    <x:cfRule type="containsText" dxfId="13" priority="5" operator="containsText" text="최우선"/>
    <x:cfRule type="containsText" dxfId="14" priority="6" operator="containsText" text="높음"/>
    <x:cfRule type="containsText" dxfId="17" priority="7" operator="containsText" text="최우선"/>
    <x:cfRule type="containsText" dxfId="18" priority="8" operator="containsText" text="높음"/>
  </x:conditionalFormatting>
  <x:pageMargins left="0.7" right="0.7" top="0.75" bottom="0.75" header="0.3" footer="0.3"/>
</x:worksheet>
</file>